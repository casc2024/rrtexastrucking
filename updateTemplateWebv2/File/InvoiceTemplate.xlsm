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mo\updateTemplateWeb\updateTemplateWeb\updateTemplateWebv2\File\"/>
    </mc:Choice>
  </mc:AlternateContent>
  <xr:revisionPtr revIDLastSave="0" documentId="13_ncr:1_{E2D33591-C6DE-4275-9A32-9CCF8CFA9D6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" sheetId="1" r:id="rId1"/>
    <sheet name="Sheet2" sheetId="2" r:id="rId2"/>
  </sheets>
  <definedNames>
    <definedName name="_xlnm._FilterDatabase" localSheetId="1" hidden="1">Sheet2!#REF!</definedName>
    <definedName name="ArcosaCrushedConcreteLewisville">Sheet2!#REF!</definedName>
    <definedName name="ArcosaCrushedConcreteMckinney">Sheet2!#REF!</definedName>
    <definedName name="ArcosaLWSAggregates">Sheet2!#REF!</definedName>
    <definedName name="BrannanAggregatesFTW">Sheet2!#REF!</definedName>
    <definedName name="CHCWindomorePrinceton">Sheet2!#REF!</definedName>
    <definedName name="Cleburne">#REF!</definedName>
    <definedName name="Deposit">Sheet1!#REF!</definedName>
    <definedName name="Dolese_Sunnyside_FTW_Materials">Sheet2!#REF!</definedName>
    <definedName name="Grayson_County_SG_Denison">Sheet2!#REF!</definedName>
    <definedName name="GTIFriscoTheGrove">Sheet2!#REF!</definedName>
    <definedName name="GTIHiddenlakeMckinney">Sheet2!#REF!</definedName>
    <definedName name="GTITillagefarmsPrinceton">Sheet2!#REF!</definedName>
    <definedName name="GTIWilsonArroyo">Sheet2!$A$26</definedName>
    <definedName name="Hanson_Bridgeport_Chico">#REF!</definedName>
    <definedName name="Hanson_Bridgeport_Lake">#REF!</definedName>
    <definedName name="HeidelbergMaterialsBridgerport">Sheet2!#REF!</definedName>
    <definedName name="HeidelbergMaterialsBristolEnnis">Sheet2!#REF!</definedName>
    <definedName name="HMGarlandJobsiteDallasLinkConstruction">Sheet2!#REF!</definedName>
    <definedName name="HMGarlandJobsiteMesquiteLinkConstruction">Sheet2!#REF!</definedName>
    <definedName name="HMGarlandJobsitePegasusLinkConstruction">Sheet2!#REF!</definedName>
    <definedName name="MartinMariettaMillCreek">Sheet2!#REF!</definedName>
    <definedName name="Northlake">#REF!</definedName>
    <definedName name="P_K_Stone_Chico">#REF!</definedName>
    <definedName name="PegasusDallasTxSeg1">Sheet2!#REF!</definedName>
    <definedName name="PegasusGarlandTxSeg2">Sheet2!#REF!</definedName>
    <definedName name="PegasusMesquiteTxSeg3">Sheet2!#REF!</definedName>
    <definedName name="PrincetonTillageFarms">#REF!</definedName>
    <definedName name="Quality_Sand_Gravel_Yuba">Sheet2!#REF!</definedName>
    <definedName name="RanchoClearviewRoyseCity">Sheet2!#REF!</definedName>
    <definedName name="Resolve_Ravenna">#REF!</definedName>
    <definedName name="RK_Hall_Const_Alan_Ritchey_Yuba">Sheet2!#REF!</definedName>
    <definedName name="SalesTax">Sheet1!#REF!</definedName>
    <definedName name="TableAlanRitchey">Sheet2!$G$1:$G$12</definedName>
    <definedName name="TableArcosaCrushedConcreteMckinney">Sheet2!$AB$1:$AB$4</definedName>
    <definedName name="TableArcosaLWSAggregates">Sheet2!$Z$1:$Z$4</definedName>
    <definedName name="TableBigCityCrushedConcreteLewisville">Sheet2!$AA$1:$AA$4</definedName>
    <definedName name="TableBrannanAggregatesFTW">Sheet2!$W$1:$W$5</definedName>
    <definedName name="TableDoleseSunnyside">Sheet2!$H$1:$H$6</definedName>
    <definedName name="TableFlatironBridgeport">Sheet2!$T$1:$T$4</definedName>
    <definedName name="TableFlatironBristol">Sheet2!$U$1:$U$4</definedName>
    <definedName name="TableGlenRoseSG">Sheet2!$I$1:$I$4</definedName>
    <definedName name="TableGraysonCountySG">Sheet2!$J$1:$J$11</definedName>
    <definedName name="TableHansonRosser">Sheet2!$V$1:$V$4</definedName>
    <definedName name="TableHeidelbergMaterialsBridgeportChico">Sheet2!$K$1:$K$15</definedName>
    <definedName name="TableHeidelbergMaterialsBristolEnnis">Sheet2!$X$1:$X$11</definedName>
    <definedName name="TableHeidelbergMaterialsRosser">Sheet2!$L$1:$L$11</definedName>
    <definedName name="TableHeidelbergMaterialsWhitney">Sheet2!$M$1:$M$11</definedName>
    <definedName name="TableLattimoreHolcim">Sheet2!$N$1:$N$11</definedName>
    <definedName name="TableMartinMariettaMillCreek">Sheet2!$Y$1:$Y$6</definedName>
    <definedName name="TablePKStoneChico">Sheet2!$O$1:$O$5</definedName>
    <definedName name="TablePKStoneMillCreek">Sheet2!$P$1:$P$11</definedName>
    <definedName name="TableQualitySandGravel">Sheet2!$Q$1:$Q$9</definedName>
    <definedName name="TableResolve">Sheet2!$R$1:$R$10</definedName>
    <definedName name="TableUnitedSandGravel">Sheet2!$S$1:$S$18</definedName>
    <definedName name="TheGroveJobsiteFriscoTX">#REF!</definedName>
    <definedName name="United_Sand_Gravel1">#REF!</definedName>
    <definedName name="UnitedGTIRollingRidgeVanAlstyne">Sheet2!$B$26</definedName>
    <definedName name="UnitedSandGravel">Sheet2!#REF!</definedName>
    <definedName name="UnitedSandGravelIvanhoe">Sheet2!#REF!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7" i="1" l="1"/>
  <c r="H139" i="1"/>
  <c r="H64" i="1"/>
  <c r="H70" i="1"/>
  <c r="H173" i="1"/>
  <c r="H58" i="1"/>
  <c r="H185" i="1"/>
  <c r="H51" i="1"/>
  <c r="H106" i="1"/>
  <c r="H81" i="1"/>
  <c r="H71" i="1"/>
  <c r="H165" i="1"/>
  <c r="H93" i="1"/>
  <c r="H160" i="1"/>
  <c r="H170" i="1"/>
  <c r="H148" i="1"/>
  <c r="H37" i="1"/>
  <c r="H107" i="1"/>
  <c r="H135" i="1"/>
  <c r="H98" i="1"/>
  <c r="H78" i="1"/>
  <c r="H41" i="1"/>
  <c r="H45" i="1"/>
  <c r="H103" i="1"/>
  <c r="H168" i="1"/>
  <c r="H29" i="1"/>
  <c r="H102" i="1"/>
  <c r="H110" i="1"/>
  <c r="H130" i="1"/>
  <c r="H69" i="1"/>
  <c r="H16" i="1"/>
  <c r="H19" i="1"/>
  <c r="H197" i="1"/>
  <c r="H105" i="1"/>
  <c r="H149" i="1"/>
  <c r="H77" i="1"/>
  <c r="H176" i="1"/>
  <c r="H154" i="1"/>
  <c r="H61" i="1"/>
  <c r="H166" i="1"/>
  <c r="H101" i="1"/>
  <c r="H137" i="1"/>
  <c r="H99" i="1"/>
  <c r="H91" i="1"/>
  <c r="H82" i="1"/>
  <c r="H49" i="1"/>
  <c r="H90" i="1"/>
  <c r="H155" i="1"/>
  <c r="H47" i="1"/>
  <c r="H132" i="1"/>
  <c r="H194" i="1"/>
  <c r="H189" i="1"/>
  <c r="H119" i="1"/>
  <c r="H200" i="1"/>
  <c r="H83" i="1"/>
  <c r="H167" i="1"/>
  <c r="H129" i="1"/>
  <c r="H85" i="1"/>
  <c r="H136" i="1"/>
  <c r="H108" i="1"/>
  <c r="H23" i="1"/>
  <c r="H86" i="1"/>
  <c r="H34" i="1"/>
  <c r="H178" i="1"/>
  <c r="H55" i="1"/>
  <c r="H116" i="1"/>
  <c r="H35" i="1"/>
  <c r="H172" i="1"/>
  <c r="H156" i="1"/>
  <c r="H169" i="1"/>
  <c r="H112" i="1"/>
  <c r="H122" i="1"/>
  <c r="H125" i="1"/>
  <c r="H144" i="1"/>
  <c r="H66" i="1"/>
  <c r="H22" i="1"/>
  <c r="H52" i="1"/>
  <c r="H87" i="1"/>
  <c r="H198" i="1"/>
  <c r="H54" i="1"/>
  <c r="H150" i="1"/>
  <c r="H113" i="1"/>
  <c r="H133" i="1"/>
  <c r="H72" i="1"/>
  <c r="H114" i="1"/>
  <c r="H25" i="1"/>
  <c r="H74" i="1"/>
  <c r="H100" i="1"/>
  <c r="H88" i="1"/>
  <c r="H191" i="1"/>
  <c r="H92" i="1"/>
  <c r="H179" i="1"/>
  <c r="H31" i="1"/>
  <c r="H177" i="1"/>
  <c r="H164" i="1"/>
  <c r="H184" i="1"/>
  <c r="H140" i="1"/>
  <c r="H175" i="1"/>
  <c r="H50" i="1"/>
  <c r="H131" i="1"/>
  <c r="H183" i="1"/>
  <c r="H36" i="1"/>
  <c r="H115" i="1"/>
  <c r="H126" i="1"/>
  <c r="H89" i="1"/>
  <c r="H181" i="1"/>
  <c r="H152" i="1"/>
  <c r="H186" i="1"/>
  <c r="H195" i="1"/>
  <c r="H32" i="1"/>
  <c r="H187" i="1"/>
  <c r="H53" i="1"/>
  <c r="H95" i="1"/>
  <c r="H199" i="1"/>
  <c r="H43" i="1"/>
  <c r="H94" i="1"/>
  <c r="H20" i="1"/>
  <c r="H27" i="1"/>
  <c r="H56" i="1"/>
  <c r="H38" i="1"/>
  <c r="H123" i="1"/>
  <c r="H63" i="1"/>
  <c r="H190" i="1"/>
  <c r="H153" i="1"/>
  <c r="H30" i="1"/>
  <c r="H33" i="1"/>
  <c r="H14" i="1"/>
  <c r="H60" i="1"/>
  <c r="H159" i="1"/>
  <c r="H163" i="1"/>
  <c r="H158" i="1"/>
  <c r="H117" i="1"/>
  <c r="H21" i="1"/>
  <c r="H128" i="1"/>
  <c r="H79" i="1"/>
  <c r="H118" i="1"/>
  <c r="H161" i="1"/>
  <c r="H192" i="1"/>
  <c r="H188" i="1"/>
  <c r="H134" i="1"/>
  <c r="H59" i="1"/>
  <c r="H68" i="1"/>
  <c r="H15" i="1"/>
  <c r="H121" i="1"/>
  <c r="H67" i="1"/>
  <c r="H76" i="1"/>
  <c r="H151" i="1"/>
  <c r="H96" i="1"/>
  <c r="H73" i="1"/>
  <c r="H147" i="1"/>
  <c r="H28" i="1"/>
  <c r="H40" i="1"/>
  <c r="H104" i="1"/>
  <c r="H17" i="1"/>
  <c r="H111" i="1"/>
  <c r="H39" i="1"/>
  <c r="H182" i="1"/>
  <c r="H142" i="1"/>
  <c r="H18" i="1"/>
  <c r="H109" i="1"/>
  <c r="H196" i="1"/>
  <c r="H84" i="1"/>
  <c r="H44" i="1"/>
  <c r="H171" i="1"/>
  <c r="H162" i="1"/>
  <c r="H146" i="1"/>
  <c r="H193" i="1"/>
  <c r="H145" i="1"/>
  <c r="H65" i="1"/>
  <c r="H24" i="1"/>
  <c r="H62" i="1"/>
  <c r="H124" i="1"/>
  <c r="H180" i="1"/>
  <c r="H127" i="1"/>
  <c r="H46" i="1"/>
  <c r="H42" i="1"/>
  <c r="H75" i="1"/>
  <c r="H143" i="1"/>
  <c r="H141" i="1"/>
  <c r="H138" i="1"/>
  <c r="H48" i="1"/>
  <c r="H80" i="1"/>
  <c r="H120" i="1"/>
  <c r="H157" i="1"/>
  <c r="H97" i="1"/>
  <c r="H26" i="1"/>
  <c r="H174" i="1"/>
  <c r="C7" i="1" l="1"/>
  <c r="C9" i="1" s="1"/>
  <c r="C8" i="1" l="1"/>
  <c r="C10" i="1" s="1"/>
  <c r="B6" i="1"/>
</calcChain>
</file>

<file path=xl/sharedStrings.xml><?xml version="1.0" encoding="utf-8"?>
<sst xmlns="http://schemas.openxmlformats.org/spreadsheetml/2006/main" count="816" uniqueCount="316">
  <si>
    <t>DATE</t>
  </si>
  <si>
    <t>TICKET#</t>
  </si>
  <si>
    <t>RATE</t>
  </si>
  <si>
    <t>TONS</t>
  </si>
  <si>
    <t>AMOUNT</t>
  </si>
  <si>
    <t>Invoice Date</t>
  </si>
  <si>
    <t>Company Name</t>
  </si>
  <si>
    <t>Material</t>
  </si>
  <si>
    <t>Loads of Week:</t>
  </si>
  <si>
    <t>Adddress</t>
  </si>
  <si>
    <t>ORIGEN ( Pick up)</t>
  </si>
  <si>
    <t>DESTINATION( Drop off)</t>
  </si>
  <si>
    <t>Fuel Surcharge</t>
  </si>
  <si>
    <t>Total Paid</t>
  </si>
  <si>
    <t xml:space="preserve">INVOICE R&amp;R TRUCKING INC </t>
  </si>
  <si>
    <t>Broker Fee</t>
  </si>
  <si>
    <t xml:space="preserve">Amount to Paid </t>
  </si>
  <si>
    <t>**Fill in the yellow box and display the options for Origen, Destination, and Material.</t>
  </si>
  <si>
    <t>V: 013 -06232024</t>
  </si>
  <si>
    <t>Alan RitcheyLewisvilleConcrete Sand</t>
  </si>
  <si>
    <t>Alan Ritchey</t>
  </si>
  <si>
    <t>Lewisville</t>
  </si>
  <si>
    <t>Concrete Sand</t>
  </si>
  <si>
    <t>15.47</t>
  </si>
  <si>
    <t>Alan RitcheyProsperConcrete Sand</t>
  </si>
  <si>
    <t>Prosper</t>
  </si>
  <si>
    <t>12.24</t>
  </si>
  <si>
    <t>Alan RitcheyAnnaConcrete Sand</t>
  </si>
  <si>
    <t>Anna</t>
  </si>
  <si>
    <t>8.93</t>
  </si>
  <si>
    <t>Alan RitcheyAubreyConcrete Sand</t>
  </si>
  <si>
    <t>Aubrey</t>
  </si>
  <si>
    <t>15.84</t>
  </si>
  <si>
    <t>Alan RitcheyGunterConcrete Sand</t>
  </si>
  <si>
    <t>Gunter</t>
  </si>
  <si>
    <t>12.02</t>
  </si>
  <si>
    <t>Alan RitcheyFarmersvilleConcrete Sand</t>
  </si>
  <si>
    <t>Farmersville</t>
  </si>
  <si>
    <t>10.49</t>
  </si>
  <si>
    <t>Dolese (Sunnyside)HasletConcrete Sand</t>
  </si>
  <si>
    <t>Dolese (Sunnyside)</t>
  </si>
  <si>
    <t>Haslet</t>
  </si>
  <si>
    <t>4.5</t>
  </si>
  <si>
    <t>Glen Rose S&amp;GHasletConcrete Sand</t>
  </si>
  <si>
    <t>Glen Rose S&amp;G</t>
  </si>
  <si>
    <t>0.0</t>
  </si>
  <si>
    <t>Grayson County S&amp;GGunterConcrete Sand</t>
  </si>
  <si>
    <t>Grayson County S&amp;G</t>
  </si>
  <si>
    <t>7.3</t>
  </si>
  <si>
    <t>Grayson County S&amp;GAnnaConcrete Sand</t>
  </si>
  <si>
    <t>7.7</t>
  </si>
  <si>
    <t>Grayson County S&amp;GFarmersvilleConcrete Sand</t>
  </si>
  <si>
    <t>9.58</t>
  </si>
  <si>
    <t>Grayson County S&amp;GProsperConcrete Sand</t>
  </si>
  <si>
    <t>10.05</t>
  </si>
  <si>
    <t>Grayson County S&amp;GAubreyConcrete Sand</t>
  </si>
  <si>
    <t>10.98</t>
  </si>
  <si>
    <t>Grayson County S&amp;GLewisvilleConcrete Sand</t>
  </si>
  <si>
    <t>13.09</t>
  </si>
  <si>
    <t>Grayson County S&amp;GHasletConcrete Sand</t>
  </si>
  <si>
    <t>17.59</t>
  </si>
  <si>
    <t>Heidelberg Materials Bridgeport /ChicoLewisvilleMan Sand</t>
  </si>
  <si>
    <t>Heidelberg Materials Bridgeport /Chico</t>
  </si>
  <si>
    <t>Man Sand</t>
  </si>
  <si>
    <t>11.38</t>
  </si>
  <si>
    <t>Heidelberg Materials Bridgeport /ChicoLewisvilleRock</t>
  </si>
  <si>
    <t>Rock</t>
  </si>
  <si>
    <t>Heidelberg Materials Bridgeport /ChicoProsperMan Sand</t>
  </si>
  <si>
    <t>11.83</t>
  </si>
  <si>
    <t>Heidelberg Materials Bridgeport /ChicoProsperRock</t>
  </si>
  <si>
    <t>Heidelberg Materials Bridgeport /ChicoAnnaMan Sand</t>
  </si>
  <si>
    <t>17.98</t>
  </si>
  <si>
    <t>Heidelberg Materials Bridgeport /ChicoAnnaRock</t>
  </si>
  <si>
    <t>Heidelberg Materials Bridgeport /ChicoAubreyMan Sand</t>
  </si>
  <si>
    <t>9.48</t>
  </si>
  <si>
    <t>Heidelberg Materials Bridgeport /ChicoAubreyRock</t>
  </si>
  <si>
    <t>Heidelberg Materials Bridgeport /ChicoGunterMan Sand</t>
  </si>
  <si>
    <t>13.48</t>
  </si>
  <si>
    <t>Heidelberg Materials Bridgeport /ChicoGunterRock</t>
  </si>
  <si>
    <t>Heidelberg Materials Bridgeport /ChicoFarmersvilleMan Sand</t>
  </si>
  <si>
    <t>19.93</t>
  </si>
  <si>
    <t>Heidelberg Materials Bridgeport /ChicoFarmersvilleRock</t>
  </si>
  <si>
    <t>Heidelberg Materials Bridgeport /ChicoHasletMan Sand</t>
  </si>
  <si>
    <t>8.13</t>
  </si>
  <si>
    <t>Heidelberg Materials Bridgeport /ChicoHasletRock</t>
  </si>
  <si>
    <t>Heidelberg Materials -RosserLewisvillePea Gravel</t>
  </si>
  <si>
    <t>Heidelberg Materials -Rosser</t>
  </si>
  <si>
    <t>Pea Gravel</t>
  </si>
  <si>
    <t>13.14</t>
  </si>
  <si>
    <t>Heidelberg Materials -RosserFarmersvillePea Gravel</t>
  </si>
  <si>
    <t>11.49</t>
  </si>
  <si>
    <t>Heidelberg Materials -RosserProsperPea Gravel</t>
  </si>
  <si>
    <t>12.280000000000001</t>
  </si>
  <si>
    <t>Heidelberg Materials -RosserAnnaPea Gravel</t>
  </si>
  <si>
    <t>12.89</t>
  </si>
  <si>
    <t>Heidelberg Materials -RosserHasletPea Gravel</t>
  </si>
  <si>
    <t>14.4</t>
  </si>
  <si>
    <t>Heidelberg Materials -RosserAubreyPea Gravel</t>
  </si>
  <si>
    <t>17.9</t>
  </si>
  <si>
    <t>Heidelberg Materials -RosserNorthlakePea Gravel</t>
  </si>
  <si>
    <t>Northlake</t>
  </si>
  <si>
    <t>14.93</t>
  </si>
  <si>
    <t>Heidelberg Materials -RosserGunterPea Gravel</t>
  </si>
  <si>
    <t>18.0</t>
  </si>
  <si>
    <t>Heidelberg Materials -WhitneyLewisvilleConcrete Sand</t>
  </si>
  <si>
    <t>Heidelberg Materials -Whitney</t>
  </si>
  <si>
    <t>21.0</t>
  </si>
  <si>
    <t>Heidelberg Materials -WhitneyProsperConcrete Sand</t>
  </si>
  <si>
    <t>21.28</t>
  </si>
  <si>
    <t>Heidelberg Materials -WhitneyAubreyConcrete Sand</t>
  </si>
  <si>
    <t>21.68</t>
  </si>
  <si>
    <t>Heidelberg Materials -WhitneyFarmersvilleConcrete Sand</t>
  </si>
  <si>
    <t>21.98</t>
  </si>
  <si>
    <t>Heidelberg Materials -WhitneyGunterConcrete Sand</t>
  </si>
  <si>
    <t>23.23</t>
  </si>
  <si>
    <t>Heidelberg Materials -WhitneyAnnaConcrete Sand</t>
  </si>
  <si>
    <t>23.0</t>
  </si>
  <si>
    <t>Lattimore (Holcim)AnnaRock</t>
  </si>
  <si>
    <t>Lattimore (Holcim)</t>
  </si>
  <si>
    <t>Lattimore (Holcim)FarmersvilleRock</t>
  </si>
  <si>
    <t>5.32</t>
  </si>
  <si>
    <t>Lattimore (Holcim)ProsperRock</t>
  </si>
  <si>
    <t>6.21</t>
  </si>
  <si>
    <t>Lattimore (Holcim)GunterRock</t>
  </si>
  <si>
    <t>4.86</t>
  </si>
  <si>
    <t>P&amp;K Stone -ChicoHasletRock</t>
  </si>
  <si>
    <t>P&amp;K Stone -Chico</t>
  </si>
  <si>
    <t>7.87</t>
  </si>
  <si>
    <t>P&amp;K Stone -Mill CreekGunterRock</t>
  </si>
  <si>
    <t>P&amp;K Stone -Mill Creek</t>
  </si>
  <si>
    <t>15.2</t>
  </si>
  <si>
    <t>P&amp;K Stone -Mill CreekLewisvilleRock</t>
  </si>
  <si>
    <t>22.41</t>
  </si>
  <si>
    <t>Quality Sand &amp; GravelAnnaConcrete Sand</t>
  </si>
  <si>
    <t>Quality Sand &amp; Gravel</t>
  </si>
  <si>
    <t>8.48</t>
  </si>
  <si>
    <t>Quality Sand &amp; GravelFarmersvilleConcrete Sand</t>
  </si>
  <si>
    <t>10.17</t>
  </si>
  <si>
    <t>Quality Sand &amp; GravelGunterConcrete Sand</t>
  </si>
  <si>
    <t>12.29</t>
  </si>
  <si>
    <t>Quality Sand &amp; GravelProsperConcrete Sand</t>
  </si>
  <si>
    <t>12.52</t>
  </si>
  <si>
    <t>Quality Sand &amp; GravelLewisvilleConcrete Sand</t>
  </si>
  <si>
    <t>14.31</t>
  </si>
  <si>
    <t>ResolveAnnaConcrete Sand</t>
  </si>
  <si>
    <t>Resolve</t>
  </si>
  <si>
    <t>7.01</t>
  </si>
  <si>
    <t>ResolveGunterConcrete Sand</t>
  </si>
  <si>
    <t>8.26</t>
  </si>
  <si>
    <t>ResolveFarmersvilleConcrete Sand</t>
  </si>
  <si>
    <t>9.1</t>
  </si>
  <si>
    <t>ResolveProsperConcrete Sand</t>
  </si>
  <si>
    <t>11.0</t>
  </si>
  <si>
    <t>ResolveAubreyConcrete Sand</t>
  </si>
  <si>
    <t>12.93</t>
  </si>
  <si>
    <t>ResolveLewisvilleConcrete Sand</t>
  </si>
  <si>
    <t>13.47</t>
  </si>
  <si>
    <t>United Sand &amp; GravelAnnaConcrete Sand</t>
  </si>
  <si>
    <t>United Sand &amp; Gravel</t>
  </si>
  <si>
    <t>8.75</t>
  </si>
  <si>
    <t>United Sand &amp; GravelFarmersvilleConcrete Sand</t>
  </si>
  <si>
    <t>10.9</t>
  </si>
  <si>
    <t>United Sand &amp; GravelGunterConcrete Sand</t>
  </si>
  <si>
    <t>12.5</t>
  </si>
  <si>
    <t>United Sand &amp; GravelProsperConcrete Sand</t>
  </si>
  <si>
    <t>12.7</t>
  </si>
  <si>
    <t>United Sand &amp; GravelLewisvilleConcrete Sand</t>
  </si>
  <si>
    <t>15.3</t>
  </si>
  <si>
    <t>United Sand &amp; GravelAubreyConcrete Sand</t>
  </si>
  <si>
    <t>15.66</t>
  </si>
  <si>
    <t>Flatiron - BridgeportHM/FlatironFTWMan Sand</t>
  </si>
  <si>
    <t>Flatiron - Bridgeport</t>
  </si>
  <si>
    <t>HM/FlatironFTW</t>
  </si>
  <si>
    <t>11.51</t>
  </si>
  <si>
    <t>Flatiron BristolHM/FlatironFTWMan Sand</t>
  </si>
  <si>
    <t>Flatiron Bristol</t>
  </si>
  <si>
    <t>13.780000000000001</t>
  </si>
  <si>
    <t>Dolese (Sunnyside)NorthlakeConcrete Sand</t>
  </si>
  <si>
    <t>Heidelberg Materials Bridgeport /ChicoNorthlakeMan Sand</t>
  </si>
  <si>
    <t>7.5</t>
  </si>
  <si>
    <t>Heidelberg Materials Bridgeport /ChicoNorthlakeRock</t>
  </si>
  <si>
    <t>Hanson -RosserNorthlakePea Gravel</t>
  </si>
  <si>
    <t>Hanson -Rosser</t>
  </si>
  <si>
    <t>14.16</t>
  </si>
  <si>
    <t>P&amp;K Stone -ChicoNorthlakeRock</t>
  </si>
  <si>
    <t>7.79</t>
  </si>
  <si>
    <t>United Sand &amp; GravelNorthlakeConcrete Sand</t>
  </si>
  <si>
    <t>19.26</t>
  </si>
  <si>
    <t>ResolveNorthlakeConcrete Sand</t>
  </si>
  <si>
    <t>18.36</t>
  </si>
  <si>
    <t>Quality Sand &amp; GravelNorthlakeConcrete Sand</t>
  </si>
  <si>
    <t>Grayson County S&amp;GNorthlakeConcrete Sand</t>
  </si>
  <si>
    <t>P&amp;K Stone -Mill CreekNorthlakeRock</t>
  </si>
  <si>
    <t>21.96</t>
  </si>
  <si>
    <t>Brannan Aggregates FTWHasletConcrete Sand</t>
  </si>
  <si>
    <t>Brannan Aggregates FTW</t>
  </si>
  <si>
    <t>Brannan Aggregates FTWNorthlakeConcrete Sand</t>
  </si>
  <si>
    <t>Heidelberg Materials-Bristol/EnnisLewisvillePea Gravel</t>
  </si>
  <si>
    <t>Heidelberg Materials-Bristol/Ennis</t>
  </si>
  <si>
    <t>14.23</t>
  </si>
  <si>
    <t>Heidelberg Materials-Bristol/EnnisProsperPea Gravel</t>
  </si>
  <si>
    <t>15.0</t>
  </si>
  <si>
    <t>Heidelberg Materials-Bristol/EnnisAnnaPea Gravel</t>
  </si>
  <si>
    <t>17.0</t>
  </si>
  <si>
    <t>Heidelberg Materials-Bristol/EnnisAubreyPea Gravel</t>
  </si>
  <si>
    <t>17.64</t>
  </si>
  <si>
    <t>Heidelberg Materials-Bristol/EnnisGunterPea Gravel</t>
  </si>
  <si>
    <t>18.18</t>
  </si>
  <si>
    <t>Heidelberg Materials-Bristol/EnnisFarmersvillePea Gravel</t>
  </si>
  <si>
    <t>Heidelberg Materials-Bristol/EnnisHasletPea Gravel</t>
  </si>
  <si>
    <t>15.5</t>
  </si>
  <si>
    <t>Heidelberg Materials-Bristol/EnnisNorthlakePea Gravel</t>
  </si>
  <si>
    <t>16.29</t>
  </si>
  <si>
    <t>Martin Marietta - Mill CreekGunterRock</t>
  </si>
  <si>
    <t>Martin Marietta - Mill Creek</t>
  </si>
  <si>
    <t>15.37</t>
  </si>
  <si>
    <t>Martin Marietta - Mill CreekAubreyRock</t>
  </si>
  <si>
    <t>Arcosa LWS AggregatesLewisvilleLightweight</t>
  </si>
  <si>
    <t>Arcosa LWS Aggregates</t>
  </si>
  <si>
    <t>Lightweight</t>
  </si>
  <si>
    <t>19.19</t>
  </si>
  <si>
    <t>Heidelberg Materials Bridgeport /ChicoHM/Pegasus_Garland Tx Seg 2TX 118 MSE Wall BF</t>
  </si>
  <si>
    <t>HM/Pegasus_Garland Tx Seg 2</t>
  </si>
  <si>
    <t>TX 118 MSE Wall BF</t>
  </si>
  <si>
    <t>15.61</t>
  </si>
  <si>
    <t>Heidelberg Materials Bridgeport /ChicoHM/Pegasus_Mesquite Tx Seg 3TX 118 MSE Wall BF</t>
  </si>
  <si>
    <t>HM/Pegasus_Mesquite Tx Seg 3</t>
  </si>
  <si>
    <t>17.05</t>
  </si>
  <si>
    <t>Heidelberg Materials Bridgeport /ChicoHM/Pegasus_Dallas Tx Seg 1TX 118 MSE Wall BF</t>
  </si>
  <si>
    <t>HM/Pegasus_Dallas Tx Seg 1</t>
  </si>
  <si>
    <t>14.66</t>
  </si>
  <si>
    <t>Heidelberg Materials Bridgeport /ChicoHM/FlatironFTWRock</t>
  </si>
  <si>
    <t>Heidelberg Materials Bridgeport /ChicoHM/FlatironFTWMan Sand</t>
  </si>
  <si>
    <t>United Sand &amp; GravelUnited S&amp;G-GTI/Frisco The GroveNatural Sand</t>
  </si>
  <si>
    <t>United S&amp;G-GTI/Frisco The Grove</t>
  </si>
  <si>
    <t>Natural Sand</t>
  </si>
  <si>
    <t>11.79</t>
  </si>
  <si>
    <t>United Sand &amp; GravelUnited S&amp;G-GTI/Tillage farms PrincetonNatural Sand</t>
  </si>
  <si>
    <t>United S&amp;G-GTI/Tillage farms Princeton</t>
  </si>
  <si>
    <t>12.42</t>
  </si>
  <si>
    <t>United Sand &amp; GravelUnited S&amp;G-GTI/Hidden lake MckinneyNatural Sand</t>
  </si>
  <si>
    <t>United S&amp;G-GTI/Hidden lake Mckinney</t>
  </si>
  <si>
    <t>11.16</t>
  </si>
  <si>
    <t>Heidelberg Materials -WhitneyHM/Cleburne_MMRock</t>
  </si>
  <si>
    <t>HM/Cleburne_MM</t>
  </si>
  <si>
    <t>Heidelberg Materials -WhitneyNorthlakeConcrete Sand</t>
  </si>
  <si>
    <t>P&amp;K Stone -Mill CreekProsperRock</t>
  </si>
  <si>
    <t>17.01</t>
  </si>
  <si>
    <t>P&amp;K Stone -Mill CreekAnnaRock</t>
  </si>
  <si>
    <t>17.91</t>
  </si>
  <si>
    <t>P&amp;K Stone -Mill CreekAubreyRock</t>
  </si>
  <si>
    <t>15.75</t>
  </si>
  <si>
    <t>P&amp;K Stone -Mill CreekFarmersvilleRock</t>
  </si>
  <si>
    <t>20.79</t>
  </si>
  <si>
    <t>P&amp;K Stone -Mill CreekHasletRock</t>
  </si>
  <si>
    <t>22.59</t>
  </si>
  <si>
    <t>Lattimore (Holcim)LewisvilleRock</t>
  </si>
  <si>
    <t>6.3</t>
  </si>
  <si>
    <t>Lattimore (Holcim)AubreyRock</t>
  </si>
  <si>
    <t>6.84</t>
  </si>
  <si>
    <t>Lattimore (Holcim)HasletRock</t>
  </si>
  <si>
    <t>11.34</t>
  </si>
  <si>
    <t>Lattimore (Holcim)NorthlakeRock</t>
  </si>
  <si>
    <t>Alan RitcheyHasletConcrete Sand</t>
  </si>
  <si>
    <t>20.16</t>
  </si>
  <si>
    <t>Alan RitcheyNorthlakeConcrete Sand</t>
  </si>
  <si>
    <t>19.62</t>
  </si>
  <si>
    <t>Martin Marietta - Mill CreekProsperRock</t>
  </si>
  <si>
    <t>17.95</t>
  </si>
  <si>
    <t>United Sand &amp; GravelUnited S&amp;G-CHC/Windmore PrincetonConcrete Sand</t>
  </si>
  <si>
    <t>United S&amp;G-CHC/Windmore Princeton</t>
  </si>
  <si>
    <t>11.7</t>
  </si>
  <si>
    <t>United Sand &amp; GravelUnited S&amp;G-GTI/Ranch Clearview Royse CityConcrete Sand</t>
  </si>
  <si>
    <t>United S&amp;G-GTI/Ranch Clearview Royse City</t>
  </si>
  <si>
    <t>Big City Crushed Concrete - LewisvilleGunterFlex base / Rip rap</t>
  </si>
  <si>
    <t>Big City Crushed Concrete - Lewisville</t>
  </si>
  <si>
    <t>Flex base / Rip rap</t>
  </si>
  <si>
    <t>7.58</t>
  </si>
  <si>
    <t>Arcosa Crushed Concrete - MckinneyFarmersvilleFlex base / Rip rap</t>
  </si>
  <si>
    <t>Arcosa Crushed Concrete - Mckinney</t>
  </si>
  <si>
    <t>United Sand &amp; GravelUnited S&amp;G-GTI/Wilson CreekConcrete Sand</t>
  </si>
  <si>
    <t>United S&amp;G-GTI/Wilson Creek</t>
  </si>
  <si>
    <t>12.6</t>
  </si>
  <si>
    <t>United Sand &amp; GravelUnited S&amp;G-GTI/Rolling Ridge  Van AlstyneConcrete Sand</t>
  </si>
  <si>
    <t>United S&amp;G-GTI/Rolling Ridge  Van Alstyne</t>
  </si>
  <si>
    <t>9.18</t>
  </si>
  <si>
    <t>United Sand &amp; GravelUnited S&amp;G-CHC/Meadow Ridge NevadaConcrete Sand</t>
  </si>
  <si>
    <t>United S&amp;G-CHC/Meadow Ridge Nevada</t>
  </si>
  <si>
    <t>11.5</t>
  </si>
  <si>
    <t>Dolese (Sunnyside)LewisvilleConcrete Sand</t>
  </si>
  <si>
    <t>7.52</t>
  </si>
  <si>
    <t>United Sand &amp; GravelUnited S&amp;G-GTI/Hidden lake MckinneyConcrete Sand</t>
  </si>
  <si>
    <t>TableDoleseSunnyside</t>
  </si>
  <si>
    <t>TableGlenRoseSG</t>
  </si>
  <si>
    <t>TableGraysonCountySG</t>
  </si>
  <si>
    <t>TableHeidelbergMaterialsBridgeportChico</t>
  </si>
  <si>
    <t xml:space="preserve">HM/FlatironFTW </t>
  </si>
  <si>
    <t>TableHeidelbergMaterialsRosser</t>
  </si>
  <si>
    <t>TableHeidelbergMaterialsWhitney</t>
  </si>
  <si>
    <t>TableLattimoreHolcim</t>
  </si>
  <si>
    <t>TablePKStoneChico</t>
  </si>
  <si>
    <t>TablePKStoneMillCreek</t>
  </si>
  <si>
    <t>TableQualitySandGravel</t>
  </si>
  <si>
    <t>TableResolve</t>
  </si>
  <si>
    <t>TableUnitedSandGravel</t>
  </si>
  <si>
    <t>TableFlatironBridgeport</t>
  </si>
  <si>
    <t>TableFlatironBristol</t>
  </si>
  <si>
    <t>TableHansonRosser</t>
  </si>
  <si>
    <t>TableBrannanAggregatesFTW</t>
  </si>
  <si>
    <t>TableHeidelbergMaterialsBristolEnnis</t>
  </si>
  <si>
    <t>TableMartinMariettaMillCreek</t>
  </si>
  <si>
    <t>TableArcosaLWSAggregates</t>
  </si>
  <si>
    <t>TableBigCityCrushedConcreteLewisville</t>
  </si>
  <si>
    <t>TableArcosaCrushedConcreteMckinney</t>
  </si>
  <si>
    <t/>
  </si>
  <si>
    <t>AlanRitchey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</si>
</sst>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.00_);_([$$-409]* \(#,##0.00\);_([$$-409]* &quot;-&quot;??_);_(@_)"/>
  </numFmts>
  <fonts count="1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/>
    <xf numFmtId="44" fontId="1" fillId="0" borderId="0"/>
    <xf numFmtId="9" fontId="1" fillId="0" borderId="0"/>
  </cellStyleXfs>
  <cellXfs count="60">
    <xf numFmtId="0" fontId="0" fillId="0" borderId="0" xfId="0"/>
    <xf numFmtId="0" fontId="2" fillId="0" borderId="0" xfId="0" applyFont="1"/>
    <xf numFmtId="44" fontId="0" fillId="0" borderId="0" xfId="2" applyFont="1"/>
    <xf numFmtId="0" fontId="0" fillId="2" borderId="1" xfId="0" applyFill="1" applyBorder="1" applyAlignment="1" applyProtection="1">
      <alignment horizontal="left" vertical="center" wrapText="1" indent="1"/>
      <protection locked="0"/>
    </xf>
    <xf numFmtId="14" fontId="0" fillId="2" borderId="3" xfId="0" applyNumberFormat="1" applyFill="1" applyBorder="1" applyAlignment="1" applyProtection="1">
      <alignment horizontal="left" vertical="center" wrapText="1" indent="1"/>
      <protection locked="0"/>
    </xf>
    <xf numFmtId="14" fontId="0" fillId="2" borderId="4" xfId="0" applyNumberFormat="1" applyFill="1" applyBorder="1" applyAlignment="1" applyProtection="1">
      <alignment horizontal="left" vertical="center" wrapText="1" indent="1"/>
      <protection locked="0"/>
    </xf>
    <xf numFmtId="0" fontId="0" fillId="2" borderId="6" xfId="0" applyFill="1" applyBorder="1" applyAlignment="1" applyProtection="1">
      <alignment horizontal="left" vertical="center" wrapText="1" indent="1"/>
      <protection locked="0"/>
    </xf>
    <xf numFmtId="0" fontId="0" fillId="0" borderId="3" xfId="0" applyBorder="1"/>
    <xf numFmtId="0" fontId="0" fillId="0" borderId="4" xfId="0" applyBorder="1"/>
    <xf numFmtId="14" fontId="0" fillId="2" borderId="6" xfId="0" applyNumberFormat="1" applyFill="1" applyBorder="1" applyProtection="1">
      <protection locked="0"/>
    </xf>
    <xf numFmtId="14" fontId="0" fillId="2" borderId="9" xfId="0" applyNumberFormat="1" applyFill="1" applyBorder="1" applyProtection="1">
      <protection locked="0"/>
    </xf>
    <xf numFmtId="44" fontId="0" fillId="0" borderId="1" xfId="0" applyNumberFormat="1" applyBorder="1"/>
    <xf numFmtId="164" fontId="0" fillId="0" borderId="1" xfId="0" applyNumberFormat="1" applyBorder="1"/>
    <xf numFmtId="44" fontId="0" fillId="0" borderId="1" xfId="2" applyFont="1" applyBorder="1"/>
    <xf numFmtId="0" fontId="0" fillId="0" borderId="2" xfId="0" applyBorder="1"/>
    <xf numFmtId="44" fontId="0" fillId="0" borderId="16" xfId="2" applyFont="1" applyBorder="1"/>
    <xf numFmtId="0" fontId="0" fillId="0" borderId="16" xfId="0" applyBorder="1" applyAlignment="1">
      <alignment horizontal="center"/>
    </xf>
    <xf numFmtId="0" fontId="0" fillId="0" borderId="17" xfId="0" applyBorder="1"/>
    <xf numFmtId="0" fontId="6" fillId="0" borderId="18" xfId="0" applyFont="1" applyBorder="1"/>
    <xf numFmtId="0" fontId="0" fillId="0" borderId="19" xfId="0" applyBorder="1"/>
    <xf numFmtId="44" fontId="0" fillId="0" borderId="20" xfId="2" applyFont="1" applyBorder="1"/>
    <xf numFmtId="9" fontId="0" fillId="0" borderId="1" xfId="0" applyNumberFormat="1" applyBorder="1"/>
    <xf numFmtId="44" fontId="8" fillId="5" borderId="1" xfId="2" applyFont="1" applyFill="1" applyBorder="1"/>
    <xf numFmtId="0" fontId="0" fillId="4" borderId="1" xfId="0" applyFill="1" applyBorder="1"/>
    <xf numFmtId="0" fontId="3" fillId="3" borderId="22" xfId="0" applyFont="1" applyFill="1" applyBorder="1" applyAlignment="1">
      <alignment horizontal="left" vertical="center" wrapText="1" indent="1"/>
    </xf>
    <xf numFmtId="0" fontId="0" fillId="0" borderId="0" xfId="0" applyAlignment="1">
      <alignment horizontal="center"/>
    </xf>
    <xf numFmtId="10" fontId="5" fillId="2" borderId="1" xfId="3" applyNumberFormat="1" applyFont="1" applyFill="1" applyBorder="1" applyAlignment="1" applyProtection="1">
      <alignment horizontal="right"/>
      <protection locked="0"/>
    </xf>
    <xf numFmtId="2" fontId="0" fillId="2" borderId="1" xfId="1" applyNumberFormat="1" applyFont="1" applyFill="1" applyBorder="1" applyAlignment="1" applyProtection="1">
      <alignment horizontal="right" vertical="center" indent="1"/>
      <protection locked="0"/>
    </xf>
    <xf numFmtId="44" fontId="0" fillId="0" borderId="8" xfId="2" applyFont="1" applyBorder="1" applyAlignment="1">
      <alignment vertical="center"/>
    </xf>
    <xf numFmtId="0" fontId="4" fillId="3" borderId="23" xfId="0" applyFont="1" applyFill="1" applyBorder="1" applyAlignment="1">
      <alignment horizontal="center" vertical="center"/>
    </xf>
    <xf numFmtId="14" fontId="0" fillId="2" borderId="25" xfId="0" applyNumberFormat="1" applyFill="1" applyBorder="1" applyAlignment="1" applyProtection="1">
      <alignment horizontal="left" vertical="center" wrapText="1" indent="1"/>
      <protection locked="0"/>
    </xf>
    <xf numFmtId="44" fontId="4" fillId="3" borderId="26" xfId="2" applyFont="1" applyFill="1" applyBorder="1" applyAlignment="1">
      <alignment horizontal="center" vertical="center"/>
    </xf>
    <xf numFmtId="2" fontId="0" fillId="2" borderId="13" xfId="1" applyNumberFormat="1" applyFont="1" applyFill="1" applyBorder="1" applyAlignment="1" applyProtection="1">
      <alignment horizontal="right" vertical="center" indent="1"/>
      <protection locked="0"/>
    </xf>
    <xf numFmtId="44" fontId="0" fillId="0" borderId="14" xfId="2" applyFont="1" applyBorder="1" applyAlignment="1">
      <alignment vertical="center"/>
    </xf>
    <xf numFmtId="2" fontId="0" fillId="2" borderId="6" xfId="1" applyNumberFormat="1" applyFont="1" applyFill="1" applyBorder="1" applyAlignment="1" applyProtection="1">
      <alignment horizontal="right" vertical="center" indent="1"/>
      <protection locked="0"/>
    </xf>
    <xf numFmtId="44" fontId="0" fillId="0" borderId="9" xfId="2" applyFont="1" applyBorder="1" applyAlignment="1">
      <alignment vertical="center"/>
    </xf>
    <xf numFmtId="44" fontId="9" fillId="0" borderId="10" xfId="2" applyFont="1" applyBorder="1"/>
    <xf numFmtId="0" fontId="0" fillId="0" borderId="5" xfId="0" applyBorder="1" applyAlignment="1" applyProtection="1">
      <alignment horizontal="left" vertical="center" wrapText="1" indent="1"/>
      <protection locked="0"/>
    </xf>
    <xf numFmtId="49" fontId="0" fillId="0" borderId="5" xfId="1" applyNumberFormat="1" applyFont="1" applyBorder="1" applyAlignment="1" applyProtection="1">
      <alignment horizontal="center" vertical="center"/>
      <protection locked="0"/>
    </xf>
    <xf numFmtId="44" fontId="0" fillId="0" borderId="5" xfId="2" applyFont="1" applyBorder="1" applyAlignment="1">
      <alignment vertical="center"/>
    </xf>
    <xf numFmtId="0" fontId="4" fillId="3" borderId="11" xfId="0" applyFont="1" applyFill="1" applyBorder="1" applyAlignment="1">
      <alignment horizontal="left" vertical="center" indent="1"/>
    </xf>
    <xf numFmtId="0" fontId="4" fillId="3" borderId="11" xfId="0" applyFont="1" applyFill="1" applyBorder="1" applyAlignment="1">
      <alignment horizontal="center" vertical="center"/>
    </xf>
    <xf numFmtId="44" fontId="0" fillId="0" borderId="6" xfId="2" applyFont="1" applyBorder="1" applyAlignment="1">
      <alignment vertical="center"/>
    </xf>
    <xf numFmtId="0" fontId="0" fillId="0" borderId="6" xfId="0" applyBorder="1" applyAlignment="1" applyProtection="1">
      <alignment horizontal="left" vertical="center" wrapText="1" indent="1"/>
      <protection locked="0"/>
    </xf>
    <xf numFmtId="49" fontId="0" fillId="0" borderId="6" xfId="1" applyNumberFormat="1" applyFont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left" vertical="center" wrapText="1" indent="1"/>
      <protection locked="0"/>
    </xf>
    <xf numFmtId="0" fontId="4" fillId="3" borderId="27" xfId="0" applyFont="1" applyFill="1" applyBorder="1" applyAlignment="1">
      <alignment horizontal="left" vertical="center" indent="1"/>
    </xf>
    <xf numFmtId="0" fontId="8" fillId="5" borderId="24" xfId="0" applyFont="1" applyFill="1" applyBorder="1" applyAlignment="1">
      <alignment horizontal="left"/>
    </xf>
    <xf numFmtId="0" fontId="8" fillId="5" borderId="21" xfId="0" applyFont="1" applyFill="1" applyBorder="1" applyAlignment="1">
      <alignment horizontal="left"/>
    </xf>
    <xf numFmtId="0" fontId="7" fillId="3" borderId="15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17">
    <dxf>
      <numFmt numFmtId="34" formatCode="_(&quot;$&quot;* #,##0.00_);_(&quot;$&quot;* \(#,##0.00\);_(&quot;$&quot;* &quot;-&quot;??_);_(@_)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wrapText="1" indent="1"/>
    </dxf>
    <dxf>
      <fill>
        <patternFill patternType="solid">
          <fgColor indexed="64"/>
          <bgColor rgb="FFFFFF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/>
    </dxf>
    <dxf>
      <numFmt numFmtId="34" formatCode="_(&quot;$&quot;* #,##0.00_);_(&quot;$&quot;* \(#,##0.00\);_(&quot;$&quot;* &quot;-&quot;??_);_(@_)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indent="1"/>
      <border>
        <left/>
        <right/>
        <top/>
        <bottom/>
      </border>
    </dxf>
    <dxf>
      <numFmt numFmtId="30" formatCode="@"/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/>
    </dxf>
    <dxf>
      <alignment horizontal="left" vertical="center" indent="1"/>
      <border>
        <left/>
        <right/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/>
    </dxf>
    <dxf>
      <alignment horizontal="left" vertical="center" wrapText="1" indent="1"/>
      <border>
        <left/>
        <right/>
        <top/>
        <bottom/>
      </border>
    </dxf>
    <dxf>
      <alignment horizontal="left" vertical="center" wrapText="1" inden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/>
    </dxf>
    <dxf>
      <alignment horizontal="left" vertical="center" wrapText="1" indent="1"/>
      <border>
        <left/>
        <right/>
        <top/>
        <bottom/>
      </border>
    </dxf>
    <dxf>
      <numFmt numFmtId="0" formatCode="General"/>
      <fill>
        <patternFill patternType="solid">
          <fgColor indexed="64"/>
          <bgColor rgb="FFFFFF00"/>
        </patternFill>
      </fill>
      <alignment horizontal="left" vertical="center" wrapText="1" inden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6"/>
        </patternFill>
      </fill>
    </dxf>
    <dxf>
      <font>
        <b/>
        <i val="0"/>
      </font>
      <border>
        <left style="thin">
          <color theme="1"/>
        </left>
        <right style="thin">
          <color theme="1"/>
        </right>
        <top style="thin">
          <color theme="1"/>
        </top>
        <bottom style="thick">
          <color theme="1"/>
        </bottom>
        <vertical style="thin">
          <color theme="1"/>
        </vertical>
      </border>
    </dxf>
    <dxf>
      <font>
        <b/>
        <i val="0"/>
      </font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Invoice" pivot="0" table="0" count="3" xr9:uid="{00000000-0011-0000-FFFF-FFFF00000000}">
      <tableStyleElement type="wholeTable" dxfId="16"/>
      <tableStyleElement type="headerRow" dxfId="15"/>
      <tableStyleElement type="totalRow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83819</xdr:colOff>
      <xdr:row>2</xdr:row>
      <xdr:rowOff>38100</xdr:rowOff>
    </xdr:from>
    <xdr:to>
      <xdr:col>7</xdr:col>
      <xdr:colOff>845820</xdr:colOff>
      <xdr:row>11</xdr:row>
      <xdr:rowOff>116205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B58C6-CD5C-3F06-E8D5-3808E4E610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085" t="16202" r="35086" b="17790"/>
        <a:stretch/>
      </xdr:blipFill>
      <xdr:spPr>
        <a:xfrm>
          <a:off x="7139939" y="449580"/>
          <a:ext cx="2857501" cy="18688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oice" displayName="Invoice" ref="B13:H200" totalsRowShown="0" headerRowDxfId="13" headerRowBorderDxfId="12">
  <tableColumns count="7">
    <tableColumn id="6" xr3:uid="{00000000-0010-0000-0000-000006000000}" name="TICKET#" dataDxfId="11" totalsRowDxfId="10"/>
    <tableColumn id="7" xr3:uid="{00000000-0010-0000-0000-000007000000}" name="ORIGEN ( Pick up)" dataDxfId="9" totalsRowDxfId="8"/>
    <tableColumn id="2" xr3:uid="{00000000-0010-0000-0000-000002000000}" name="DESTINATION( Drop off)" dataDxfId="7" totalsRowDxfId="6"/>
    <tableColumn id="8" xr3:uid="{00000000-0010-0000-0000-000008000000}" name="Material" dataDxfId="5" totalsRowDxfId="4"/>
    <tableColumn id="3" xr3:uid="{00000000-0010-0000-0000-000003000000}" name="RATE" dataDxfId="3"/>
    <tableColumn id="4" xr3:uid="{00000000-0010-0000-0000-000004000000}" name="TONS" dataDxfId="2" totalsRowDxfId="1"/>
    <tableColumn id="5" xr3:uid="{00000000-0010-0000-0000-000005000000}" name="AMOUNT" dataDxfId="0">
      <calculatedColumnFormula>+F14*G14</calculatedColumnFormula>
    </tableColumn>
  </tableColumns>
  <tableStyleInfo name="Invoice" showFirstColumn="0" showLastColumn="0" showRowStripes="1" showColumnStripes="0"/>
  <extLst>
    <ext xmlns:x14="http://schemas.microsoft.com/office/spreadsheetml/2009/9/main" uri="{504A1905-F514-4f6f-8877-14C23A59335A}">
      <x14:table altTextSummary="Enter Item Number, Description, Price, and Quantity in this table. Amount is automatically calculated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DE1086-7E2B-40E5-B191-FB86BB4E24AA}" name="AlanRitchey" displayName="AlanRitchey" ref="G2:G11" totalsRowShown="0">
  <autoFilter ref="G2:G11" xr:uid="{55DE1086-7E2B-40E5-B191-FB86BB4E24AA}"/>
  <tableColumns count="1">
    <tableColumn id="1" xr3:uid="{B8BB7425-AF87-4CC3-B6BF-54F420053952}" name="AlanRitche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00"/>
  <sheetViews>
    <sheetView showGridLines="0" zoomScaleNormal="100" workbookViewId="0">
      <selection activeCell="D14" sqref="D14"/>
    </sheetView>
  </sheetViews>
  <sheetFormatPr baseColWidth="10" defaultColWidth="11" defaultRowHeight="15.75" x14ac:dyDescent="0.25"/>
  <cols>
    <col min="1" max="1" width="16.375" customWidth="1"/>
    <col min="2" max="2" width="17.25" customWidth="1"/>
    <col min="3" max="3" width="35.25" customWidth="1"/>
    <col min="4" max="4" width="20.875" bestFit="1" customWidth="1"/>
    <col min="5" max="5" width="20.875" customWidth="1"/>
    <col min="7" max="7" width="16.5" customWidth="1"/>
    <col min="8" max="8" width="12.25" style="2" bestFit="1" customWidth="1"/>
  </cols>
  <sheetData>
    <row r="1" spans="1:11" ht="16.5" thickBot="1" x14ac:dyDescent="0.3">
      <c r="A1" s="49" t="s">
        <v>14</v>
      </c>
      <c r="B1" s="50"/>
      <c r="C1" s="50"/>
      <c r="D1" s="50"/>
      <c r="E1" s="50"/>
      <c r="F1" s="50"/>
      <c r="G1" s="50"/>
      <c r="H1" s="51"/>
    </row>
    <row r="2" spans="1:11" ht="16.5" thickBot="1" x14ac:dyDescent="0.3">
      <c r="A2" s="14" t="s">
        <v>6</v>
      </c>
      <c r="B2" s="54"/>
      <c r="C2" s="55"/>
      <c r="H2" s="36" t="s">
        <v>18</v>
      </c>
    </row>
    <row r="3" spans="1:11" x14ac:dyDescent="0.25">
      <c r="A3" s="7" t="s">
        <v>9</v>
      </c>
      <c r="B3" s="56"/>
      <c r="C3" s="57"/>
      <c r="H3" s="15"/>
    </row>
    <row r="4" spans="1:11" ht="16.5" thickBot="1" x14ac:dyDescent="0.3">
      <c r="A4" s="8" t="s">
        <v>5</v>
      </c>
      <c r="B4" s="9"/>
      <c r="C4" s="10"/>
      <c r="G4" s="52"/>
      <c r="H4" s="53"/>
      <c r="K4" s="2"/>
    </row>
    <row r="5" spans="1:11" x14ac:dyDescent="0.25">
      <c r="A5" s="17"/>
      <c r="G5" s="25"/>
      <c r="H5" s="16"/>
    </row>
    <row r="6" spans="1:11" x14ac:dyDescent="0.25">
      <c r="A6" s="7" t="s">
        <v>8</v>
      </c>
      <c r="B6" s="23">
        <f>COUNT(B14:B200)</f>
        <v>0</v>
      </c>
      <c r="H6" s="15"/>
    </row>
    <row r="7" spans="1:11" x14ac:dyDescent="0.25">
      <c r="A7" s="58" t="s">
        <v>13</v>
      </c>
      <c r="B7" s="59"/>
      <c r="C7" s="11">
        <f>+SUM(H14:H200)</f>
        <v>0</v>
      </c>
      <c r="H7" s="15"/>
    </row>
    <row r="8" spans="1:11" x14ac:dyDescent="0.25">
      <c r="A8" s="7" t="s">
        <v>12</v>
      </c>
      <c r="B8" s="26"/>
      <c r="C8" s="12">
        <f>+C7*B8</f>
        <v>0</v>
      </c>
      <c r="H8" s="15"/>
    </row>
    <row r="9" spans="1:11" x14ac:dyDescent="0.25">
      <c r="A9" s="7" t="s">
        <v>15</v>
      </c>
      <c r="B9" s="21">
        <v>-0.1</v>
      </c>
      <c r="C9" s="13">
        <f>C7*B9</f>
        <v>0</v>
      </c>
      <c r="H9" s="15"/>
    </row>
    <row r="10" spans="1:11" x14ac:dyDescent="0.25">
      <c r="A10" s="47" t="s">
        <v>16</v>
      </c>
      <c r="B10" s="48"/>
      <c r="C10" s="22">
        <f>C7+C8+C9</f>
        <v>0</v>
      </c>
      <c r="H10" s="15"/>
    </row>
    <row r="11" spans="1:11" x14ac:dyDescent="0.25">
      <c r="A11" s="17"/>
      <c r="H11" s="15"/>
    </row>
    <row r="12" spans="1:11" ht="16.5" thickBot="1" x14ac:dyDescent="0.3">
      <c r="A12" s="18" t="s">
        <v>17</v>
      </c>
      <c r="B12" s="19"/>
      <c r="C12" s="19"/>
      <c r="D12" s="19"/>
      <c r="E12" s="19"/>
      <c r="F12" s="19"/>
      <c r="G12" s="19"/>
      <c r="H12" s="20"/>
    </row>
    <row r="13" spans="1:11" ht="16.5" thickBot="1" x14ac:dyDescent="0.3">
      <c r="A13" s="24" t="s">
        <v>0</v>
      </c>
      <c r="B13" s="46" t="s">
        <v>1</v>
      </c>
      <c r="C13" s="40" t="s">
        <v>10</v>
      </c>
      <c r="D13" s="40" t="s">
        <v>11</v>
      </c>
      <c r="E13" s="41" t="s">
        <v>7</v>
      </c>
      <c r="F13" s="41" t="s">
        <v>2</v>
      </c>
      <c r="G13" s="29" t="s">
        <v>3</v>
      </c>
      <c r="H13" s="31" t="s">
        <v>4</v>
      </c>
      <c r="I13" s="1"/>
    </row>
    <row r="14" spans="1:11" x14ac:dyDescent="0.25">
      <c r="A14" s="30"/>
      <c r="B14" s="45"/>
      <c r="C14" s="37" t="s">
        <v>20</v>
      </c>
      <c r="D14" s="37"/>
      <c r="E14" s="38" t="s">
        <v>314</v>
      </c>
      <c r="F14" s="39"/>
      <c r="G14" s="32"/>
      <c r="H14" s="33">
        <f t="shared" ref="H14:H15" si="0">+F14*G14</f>
        <v>0</v>
      </c>
    </row>
    <row r="15" spans="1:11" x14ac:dyDescent="0.25">
      <c r="A15" s="4"/>
      <c r="B15" s="3"/>
      <c r="C15" s="37"/>
      <c r="D15" s="37"/>
      <c r="E15" s="38"/>
      <c r="F15" s="39"/>
      <c r="G15" s="27"/>
      <c r="H15" s="28">
        <f t="shared" si="0"/>
        <v>0</v>
      </c>
    </row>
    <row r="16" spans="1:11" x14ac:dyDescent="0.25">
      <c r="A16" s="4"/>
      <c r="B16" s="3"/>
      <c r="C16" s="37"/>
      <c r="D16" s="37"/>
      <c r="E16" s="38"/>
      <c r="F16" s="39"/>
      <c r="G16" s="27"/>
      <c r="H16" s="28">
        <f t="shared" ref="H16:H25" si="1">+F16*G16</f>
        <v>0</v>
      </c>
    </row>
    <row r="17" spans="1:8" x14ac:dyDescent="0.25">
      <c r="A17" s="4"/>
      <c r="B17" s="3"/>
      <c r="C17" s="37"/>
      <c r="D17" s="37"/>
      <c r="E17" s="38"/>
      <c r="F17" s="39"/>
      <c r="G17" s="27"/>
      <c r="H17" s="28">
        <f t="shared" si="1"/>
        <v>0</v>
      </c>
    </row>
    <row r="18" spans="1:8" x14ac:dyDescent="0.25">
      <c r="A18" s="4"/>
      <c r="B18" s="3"/>
      <c r="C18" s="37"/>
      <c r="D18" s="37"/>
      <c r="E18" s="38"/>
      <c r="F18" s="39"/>
      <c r="G18" s="27"/>
      <c r="H18" s="28">
        <f t="shared" si="1"/>
        <v>0</v>
      </c>
    </row>
    <row r="19" spans="1:8" x14ac:dyDescent="0.25">
      <c r="A19" s="4"/>
      <c r="B19" s="3"/>
      <c r="C19" s="37"/>
      <c r="D19" s="37"/>
      <c r="E19" s="38"/>
      <c r="F19" s="39"/>
      <c r="G19" s="27"/>
      <c r="H19" s="28">
        <f t="shared" si="1"/>
        <v>0</v>
      </c>
    </row>
    <row r="20" spans="1:8" x14ac:dyDescent="0.25">
      <c r="A20" s="4"/>
      <c r="B20" s="3"/>
      <c r="C20" s="37"/>
      <c r="D20" s="37"/>
      <c r="E20" s="38"/>
      <c r="F20" s="39"/>
      <c r="G20" s="27"/>
      <c r="H20" s="28">
        <f t="shared" si="1"/>
        <v>0</v>
      </c>
    </row>
    <row r="21" spans="1:8" x14ac:dyDescent="0.25">
      <c r="A21" s="4"/>
      <c r="B21" s="3"/>
      <c r="C21" s="37"/>
      <c r="D21" s="37"/>
      <c r="E21" s="38"/>
      <c r="F21" s="39"/>
      <c r="G21" s="27"/>
      <c r="H21" s="28">
        <f t="shared" si="1"/>
        <v>0</v>
      </c>
    </row>
    <row r="22" spans="1:8" x14ac:dyDescent="0.25">
      <c r="A22" s="4"/>
      <c r="B22" s="3"/>
      <c r="C22" s="37"/>
      <c r="D22" s="37"/>
      <c r="E22" s="38"/>
      <c r="F22" s="39"/>
      <c r="G22" s="27"/>
      <c r="H22" s="28">
        <f t="shared" si="1"/>
        <v>0</v>
      </c>
    </row>
    <row r="23" spans="1:8" x14ac:dyDescent="0.25">
      <c r="A23" s="4"/>
      <c r="B23" s="3"/>
      <c r="C23" s="37"/>
      <c r="D23" s="37"/>
      <c r="E23" s="38"/>
      <c r="F23" s="39"/>
      <c r="G23" s="27"/>
      <c r="H23" s="28">
        <f t="shared" si="1"/>
        <v>0</v>
      </c>
    </row>
    <row r="24" spans="1:8" x14ac:dyDescent="0.25">
      <c r="A24" s="4"/>
      <c r="B24" s="3"/>
      <c r="C24" s="37"/>
      <c r="D24" s="37"/>
      <c r="E24" s="38"/>
      <c r="F24" s="39"/>
      <c r="G24" s="27"/>
      <c r="H24" s="28">
        <f t="shared" si="1"/>
        <v>0</v>
      </c>
    </row>
    <row r="25" spans="1:8" x14ac:dyDescent="0.25">
      <c r="A25" s="4"/>
      <c r="B25" s="3"/>
      <c r="C25" s="37"/>
      <c r="D25" s="37"/>
      <c r="E25" s="38"/>
      <c r="F25" s="39"/>
      <c r="G25" s="27"/>
      <c r="H25" s="28">
        <f t="shared" si="1"/>
        <v>0</v>
      </c>
    </row>
    <row r="26" spans="1:8" x14ac:dyDescent="0.25">
      <c r="A26" s="4"/>
      <c r="B26" s="3"/>
      <c r="C26" s="37"/>
      <c r="D26" s="37"/>
      <c r="E26" s="38"/>
      <c r="F26" s="39"/>
      <c r="G26" s="27"/>
      <c r="H26" s="28">
        <f t="shared" ref="H26:H57" si="2">+F26*G26</f>
        <v>0</v>
      </c>
    </row>
    <row r="27" spans="1:8" x14ac:dyDescent="0.25">
      <c r="A27" s="4"/>
      <c r="B27" s="3"/>
      <c r="C27" s="37"/>
      <c r="D27" s="37"/>
      <c r="E27" s="38"/>
      <c r="F27" s="39"/>
      <c r="G27" s="27"/>
      <c r="H27" s="28">
        <f t="shared" si="2"/>
        <v>0</v>
      </c>
    </row>
    <row r="28" spans="1:8" x14ac:dyDescent="0.25">
      <c r="A28" s="4"/>
      <c r="B28" s="3"/>
      <c r="C28" s="37"/>
      <c r="D28" s="37"/>
      <c r="E28" s="38"/>
      <c r="F28" s="39"/>
      <c r="G28" s="27"/>
      <c r="H28" s="28">
        <f t="shared" si="2"/>
        <v>0</v>
      </c>
    </row>
    <row r="29" spans="1:8" x14ac:dyDescent="0.25">
      <c r="A29" s="4"/>
      <c r="B29" s="3"/>
      <c r="C29" s="37"/>
      <c r="D29" s="37"/>
      <c r="E29" s="38"/>
      <c r="F29" s="39"/>
      <c r="G29" s="27"/>
      <c r="H29" s="28">
        <f t="shared" si="2"/>
        <v>0</v>
      </c>
    </row>
    <row r="30" spans="1:8" x14ac:dyDescent="0.25">
      <c r="A30" s="4"/>
      <c r="B30" s="3"/>
      <c r="C30" s="37"/>
      <c r="D30" s="37"/>
      <c r="E30" s="38"/>
      <c r="F30" s="39"/>
      <c r="G30" s="27"/>
      <c r="H30" s="28">
        <f t="shared" si="2"/>
        <v>0</v>
      </c>
    </row>
    <row r="31" spans="1:8" x14ac:dyDescent="0.25">
      <c r="A31" s="4"/>
      <c r="B31" s="3"/>
      <c r="C31" s="37"/>
      <c r="D31" s="37"/>
      <c r="E31" s="38"/>
      <c r="F31" s="39"/>
      <c r="G31" s="27"/>
      <c r="H31" s="28">
        <f t="shared" si="2"/>
        <v>0</v>
      </c>
    </row>
    <row r="32" spans="1:8" x14ac:dyDescent="0.25">
      <c r="A32" s="4"/>
      <c r="B32" s="3"/>
      <c r="C32" s="37"/>
      <c r="D32" s="37"/>
      <c r="E32" s="38"/>
      <c r="F32" s="39"/>
      <c r="G32" s="27"/>
      <c r="H32" s="28">
        <f t="shared" si="2"/>
        <v>0</v>
      </c>
    </row>
    <row r="33" spans="1:8" x14ac:dyDescent="0.25">
      <c r="A33" s="4"/>
      <c r="B33" s="3"/>
      <c r="C33" s="37"/>
      <c r="D33" s="37"/>
      <c r="E33" s="38"/>
      <c r="F33" s="39"/>
      <c r="G33" s="27"/>
      <c r="H33" s="28">
        <f t="shared" si="2"/>
        <v>0</v>
      </c>
    </row>
    <row r="34" spans="1:8" x14ac:dyDescent="0.25">
      <c r="A34" s="4"/>
      <c r="B34" s="3"/>
      <c r="C34" s="37"/>
      <c r="D34" s="37"/>
      <c r="E34" s="38"/>
      <c r="F34" s="39"/>
      <c r="G34" s="27"/>
      <c r="H34" s="28">
        <f t="shared" si="2"/>
        <v>0</v>
      </c>
    </row>
    <row r="35" spans="1:8" x14ac:dyDescent="0.25">
      <c r="A35" s="4"/>
      <c r="B35" s="3"/>
      <c r="C35" s="37"/>
      <c r="D35" s="37"/>
      <c r="E35" s="38"/>
      <c r="F35" s="39"/>
      <c r="G35" s="27"/>
      <c r="H35" s="28">
        <f t="shared" si="2"/>
        <v>0</v>
      </c>
    </row>
    <row r="36" spans="1:8" x14ac:dyDescent="0.25">
      <c r="A36" s="4"/>
      <c r="B36" s="3"/>
      <c r="C36" s="37"/>
      <c r="D36" s="37"/>
      <c r="E36" s="38"/>
      <c r="F36" s="39"/>
      <c r="G36" s="27"/>
      <c r="H36" s="28">
        <f t="shared" si="2"/>
        <v>0</v>
      </c>
    </row>
    <row r="37" spans="1:8" x14ac:dyDescent="0.25">
      <c r="A37" s="4"/>
      <c r="B37" s="3"/>
      <c r="C37" s="37"/>
      <c r="D37" s="37"/>
      <c r="E37" s="38"/>
      <c r="F37" s="39"/>
      <c r="G37" s="27"/>
      <c r="H37" s="28">
        <f t="shared" si="2"/>
        <v>0</v>
      </c>
    </row>
    <row r="38" spans="1:8" x14ac:dyDescent="0.25">
      <c r="A38" s="4"/>
      <c r="B38" s="3"/>
      <c r="C38" s="37"/>
      <c r="D38" s="37"/>
      <c r="E38" s="38"/>
      <c r="F38" s="39"/>
      <c r="G38" s="27"/>
      <c r="H38" s="28">
        <f t="shared" si="2"/>
        <v>0</v>
      </c>
    </row>
    <row r="39" spans="1:8" x14ac:dyDescent="0.25">
      <c r="A39" s="4"/>
      <c r="B39" s="3"/>
      <c r="C39" s="37"/>
      <c r="D39" s="37"/>
      <c r="E39" s="38"/>
      <c r="F39" s="39"/>
      <c r="G39" s="27"/>
      <c r="H39" s="28">
        <f t="shared" si="2"/>
        <v>0</v>
      </c>
    </row>
    <row r="40" spans="1:8" x14ac:dyDescent="0.25">
      <c r="A40" s="4"/>
      <c r="B40" s="3"/>
      <c r="C40" s="37"/>
      <c r="D40" s="37"/>
      <c r="E40" s="38"/>
      <c r="F40" s="39"/>
      <c r="G40" s="27"/>
      <c r="H40" s="28">
        <f t="shared" si="2"/>
        <v>0</v>
      </c>
    </row>
    <row r="41" spans="1:8" x14ac:dyDescent="0.25">
      <c r="A41" s="4"/>
      <c r="B41" s="3"/>
      <c r="C41" s="37"/>
      <c r="D41" s="37"/>
      <c r="E41" s="38"/>
      <c r="F41" s="39"/>
      <c r="G41" s="27"/>
      <c r="H41" s="28">
        <f t="shared" si="2"/>
        <v>0</v>
      </c>
    </row>
    <row r="42" spans="1:8" x14ac:dyDescent="0.25">
      <c r="A42" s="4"/>
      <c r="B42" s="3"/>
      <c r="C42" s="37"/>
      <c r="D42" s="37"/>
      <c r="E42" s="38"/>
      <c r="F42" s="39"/>
      <c r="G42" s="27"/>
      <c r="H42" s="28">
        <f t="shared" si="2"/>
        <v>0</v>
      </c>
    </row>
    <row r="43" spans="1:8" x14ac:dyDescent="0.25">
      <c r="A43" s="4"/>
      <c r="B43" s="3"/>
      <c r="C43" s="37"/>
      <c r="D43" s="37"/>
      <c r="E43" s="38"/>
      <c r="F43" s="39"/>
      <c r="G43" s="27"/>
      <c r="H43" s="28">
        <f t="shared" si="2"/>
        <v>0</v>
      </c>
    </row>
    <row r="44" spans="1:8" x14ac:dyDescent="0.25">
      <c r="A44" s="4"/>
      <c r="B44" s="3"/>
      <c r="C44" s="37"/>
      <c r="D44" s="37"/>
      <c r="E44" s="38"/>
      <c r="F44" s="39"/>
      <c r="G44" s="27"/>
      <c r="H44" s="28">
        <f t="shared" si="2"/>
        <v>0</v>
      </c>
    </row>
    <row r="45" spans="1:8" x14ac:dyDescent="0.25">
      <c r="A45" s="4"/>
      <c r="B45" s="3"/>
      <c r="C45" s="37"/>
      <c r="D45" s="37"/>
      <c r="E45" s="38"/>
      <c r="F45" s="39"/>
      <c r="G45" s="27"/>
      <c r="H45" s="28">
        <f t="shared" si="2"/>
        <v>0</v>
      </c>
    </row>
    <row r="46" spans="1:8" x14ac:dyDescent="0.25">
      <c r="A46" s="4"/>
      <c r="B46" s="3"/>
      <c r="C46" s="37"/>
      <c r="D46" s="37"/>
      <c r="E46" s="38"/>
      <c r="F46" s="39"/>
      <c r="G46" s="27"/>
      <c r="H46" s="28">
        <f t="shared" si="2"/>
        <v>0</v>
      </c>
    </row>
    <row r="47" spans="1:8" x14ac:dyDescent="0.25">
      <c r="A47" s="4"/>
      <c r="B47" s="3"/>
      <c r="C47" s="37"/>
      <c r="D47" s="37"/>
      <c r="E47" s="38"/>
      <c r="F47" s="39"/>
      <c r="G47" s="27"/>
      <c r="H47" s="28">
        <f t="shared" si="2"/>
        <v>0</v>
      </c>
    </row>
    <row r="48" spans="1:8" x14ac:dyDescent="0.25">
      <c r="A48" s="4"/>
      <c r="B48" s="3"/>
      <c r="C48" s="37"/>
      <c r="D48" s="37"/>
      <c r="E48" s="38"/>
      <c r="F48" s="39"/>
      <c r="G48" s="27"/>
      <c r="H48" s="28">
        <f t="shared" si="2"/>
        <v>0</v>
      </c>
    </row>
    <row r="49" spans="1:8" x14ac:dyDescent="0.25">
      <c r="A49" s="4"/>
      <c r="B49" s="3"/>
      <c r="C49" s="37"/>
      <c r="D49" s="37"/>
      <c r="E49" s="38"/>
      <c r="F49" s="39"/>
      <c r="G49" s="27"/>
      <c r="H49" s="28">
        <f t="shared" si="2"/>
        <v>0</v>
      </c>
    </row>
    <row r="50" spans="1:8" x14ac:dyDescent="0.25">
      <c r="A50" s="4"/>
      <c r="B50" s="3"/>
      <c r="C50" s="37"/>
      <c r="D50" s="37"/>
      <c r="E50" s="38"/>
      <c r="F50" s="39"/>
      <c r="G50" s="27"/>
      <c r="H50" s="28">
        <f t="shared" si="2"/>
        <v>0</v>
      </c>
    </row>
    <row r="51" spans="1:8" x14ac:dyDescent="0.25">
      <c r="A51" s="4"/>
      <c r="B51" s="3"/>
      <c r="C51" s="37"/>
      <c r="D51" s="37"/>
      <c r="E51" s="38"/>
      <c r="F51" s="39"/>
      <c r="G51" s="27"/>
      <c r="H51" s="28">
        <f t="shared" si="2"/>
        <v>0</v>
      </c>
    </row>
    <row r="52" spans="1:8" x14ac:dyDescent="0.25">
      <c r="A52" s="4"/>
      <c r="B52" s="3"/>
      <c r="C52" s="37"/>
      <c r="D52" s="37"/>
      <c r="E52" s="38"/>
      <c r="F52" s="39"/>
      <c r="G52" s="27"/>
      <c r="H52" s="28">
        <f t="shared" si="2"/>
        <v>0</v>
      </c>
    </row>
    <row r="53" spans="1:8" x14ac:dyDescent="0.25">
      <c r="A53" s="4"/>
      <c r="B53" s="3"/>
      <c r="C53" s="37"/>
      <c r="D53" s="37"/>
      <c r="E53" s="38"/>
      <c r="F53" s="39"/>
      <c r="G53" s="27"/>
      <c r="H53" s="28">
        <f t="shared" si="2"/>
        <v>0</v>
      </c>
    </row>
    <row r="54" spans="1:8" x14ac:dyDescent="0.25">
      <c r="A54" s="4"/>
      <c r="B54" s="3"/>
      <c r="C54" s="37"/>
      <c r="D54" s="37"/>
      <c r="E54" s="38"/>
      <c r="F54" s="39"/>
      <c r="G54" s="27"/>
      <c r="H54" s="28">
        <f t="shared" si="2"/>
        <v>0</v>
      </c>
    </row>
    <row r="55" spans="1:8" x14ac:dyDescent="0.25">
      <c r="A55" s="4"/>
      <c r="B55" s="3"/>
      <c r="C55" s="37"/>
      <c r="D55" s="37"/>
      <c r="E55" s="38"/>
      <c r="F55" s="39"/>
      <c r="G55" s="27"/>
      <c r="H55" s="28">
        <f t="shared" si="2"/>
        <v>0</v>
      </c>
    </row>
    <row r="56" spans="1:8" x14ac:dyDescent="0.25">
      <c r="A56" s="4"/>
      <c r="B56" s="3"/>
      <c r="C56" s="37"/>
      <c r="D56" s="37"/>
      <c r="E56" s="38"/>
      <c r="F56" s="39"/>
      <c r="G56" s="27"/>
      <c r="H56" s="28">
        <f t="shared" si="2"/>
        <v>0</v>
      </c>
    </row>
    <row r="57" spans="1:8" x14ac:dyDescent="0.25">
      <c r="A57" s="4"/>
      <c r="B57" s="3"/>
      <c r="C57" s="37"/>
      <c r="D57" s="37"/>
      <c r="E57" s="38"/>
      <c r="F57" s="39"/>
      <c r="G57" s="27"/>
      <c r="H57" s="28">
        <f t="shared" si="2"/>
        <v>0</v>
      </c>
    </row>
    <row r="58" spans="1:8" x14ac:dyDescent="0.25">
      <c r="A58" s="4"/>
      <c r="B58" s="3"/>
      <c r="C58" s="37"/>
      <c r="D58" s="37"/>
      <c r="E58" s="38"/>
      <c r="F58" s="39"/>
      <c r="G58" s="27"/>
      <c r="H58" s="28">
        <f t="shared" ref="H58:H89" si="3">+F58*G58</f>
        <v>0</v>
      </c>
    </row>
    <row r="59" spans="1:8" x14ac:dyDescent="0.25">
      <c r="A59" s="4"/>
      <c r="B59" s="3"/>
      <c r="C59" s="37"/>
      <c r="D59" s="37"/>
      <c r="E59" s="38"/>
      <c r="F59" s="39"/>
      <c r="G59" s="27"/>
      <c r="H59" s="28">
        <f t="shared" si="3"/>
        <v>0</v>
      </c>
    </row>
    <row r="60" spans="1:8" x14ac:dyDescent="0.25">
      <c r="A60" s="4"/>
      <c r="B60" s="3"/>
      <c r="C60" s="37"/>
      <c r="D60" s="37"/>
      <c r="E60" s="38"/>
      <c r="F60" s="39"/>
      <c r="G60" s="27"/>
      <c r="H60" s="28">
        <f t="shared" si="3"/>
        <v>0</v>
      </c>
    </row>
    <row r="61" spans="1:8" x14ac:dyDescent="0.25">
      <c r="A61" s="4"/>
      <c r="B61" s="3"/>
      <c r="C61" s="37"/>
      <c r="D61" s="37"/>
      <c r="E61" s="38"/>
      <c r="F61" s="39"/>
      <c r="G61" s="27"/>
      <c r="H61" s="28">
        <f t="shared" si="3"/>
        <v>0</v>
      </c>
    </row>
    <row r="62" spans="1:8" x14ac:dyDescent="0.25">
      <c r="A62" s="4"/>
      <c r="B62" s="3"/>
      <c r="C62" s="37"/>
      <c r="D62" s="37"/>
      <c r="E62" s="38"/>
      <c r="F62" s="39"/>
      <c r="G62" s="27"/>
      <c r="H62" s="28">
        <f t="shared" si="3"/>
        <v>0</v>
      </c>
    </row>
    <row r="63" spans="1:8" x14ac:dyDescent="0.25">
      <c r="A63" s="4"/>
      <c r="B63" s="3"/>
      <c r="C63" s="37"/>
      <c r="D63" s="37"/>
      <c r="E63" s="38"/>
      <c r="F63" s="39"/>
      <c r="G63" s="27"/>
      <c r="H63" s="28">
        <f t="shared" si="3"/>
        <v>0</v>
      </c>
    </row>
    <row r="64" spans="1:8" x14ac:dyDescent="0.25">
      <c r="A64" s="4"/>
      <c r="B64" s="3"/>
      <c r="C64" s="37"/>
      <c r="D64" s="37"/>
      <c r="E64" s="38"/>
      <c r="F64" s="39"/>
      <c r="G64" s="27"/>
      <c r="H64" s="28">
        <f t="shared" si="3"/>
        <v>0</v>
      </c>
    </row>
    <row r="65" spans="1:8" x14ac:dyDescent="0.25">
      <c r="A65" s="4"/>
      <c r="B65" s="3"/>
      <c r="C65" s="37"/>
      <c r="D65" s="37"/>
      <c r="E65" s="38"/>
      <c r="F65" s="39"/>
      <c r="G65" s="27"/>
      <c r="H65" s="28">
        <f t="shared" si="3"/>
        <v>0</v>
      </c>
    </row>
    <row r="66" spans="1:8" x14ac:dyDescent="0.25">
      <c r="A66" s="4"/>
      <c r="B66" s="3"/>
      <c r="C66" s="37"/>
      <c r="D66" s="37"/>
      <c r="E66" s="38"/>
      <c r="F66" s="39"/>
      <c r="G66" s="27"/>
      <c r="H66" s="28">
        <f t="shared" si="3"/>
        <v>0</v>
      </c>
    </row>
    <row r="67" spans="1:8" x14ac:dyDescent="0.25">
      <c r="A67" s="4"/>
      <c r="B67" s="3"/>
      <c r="C67" s="37"/>
      <c r="D67" s="37"/>
      <c r="E67" s="38"/>
      <c r="F67" s="39"/>
      <c r="G67" s="27"/>
      <c r="H67" s="28">
        <f t="shared" si="3"/>
        <v>0</v>
      </c>
    </row>
    <row r="68" spans="1:8" x14ac:dyDescent="0.25">
      <c r="A68" s="4"/>
      <c r="B68" s="3"/>
      <c r="C68" s="37"/>
      <c r="D68" s="37"/>
      <c r="E68" s="38"/>
      <c r="F68" s="39"/>
      <c r="G68" s="27"/>
      <c r="H68" s="28">
        <f t="shared" si="3"/>
        <v>0</v>
      </c>
    </row>
    <row r="69" spans="1:8" x14ac:dyDescent="0.25">
      <c r="A69" s="4"/>
      <c r="B69" s="3"/>
      <c r="C69" s="37"/>
      <c r="D69" s="37"/>
      <c r="E69" s="38"/>
      <c r="F69" s="39"/>
      <c r="G69" s="27"/>
      <c r="H69" s="28">
        <f t="shared" si="3"/>
        <v>0</v>
      </c>
    </row>
    <row r="70" spans="1:8" x14ac:dyDescent="0.25">
      <c r="A70" s="4"/>
      <c r="B70" s="3"/>
      <c r="C70" s="37"/>
      <c r="D70" s="37"/>
      <c r="E70" s="38"/>
      <c r="F70" s="39"/>
      <c r="G70" s="27"/>
      <c r="H70" s="28">
        <f t="shared" si="3"/>
        <v>0</v>
      </c>
    </row>
    <row r="71" spans="1:8" x14ac:dyDescent="0.25">
      <c r="A71" s="4"/>
      <c r="B71" s="3"/>
      <c r="C71" s="37"/>
      <c r="D71" s="37"/>
      <c r="E71" s="38"/>
      <c r="F71" s="39"/>
      <c r="G71" s="27"/>
      <c r="H71" s="28">
        <f t="shared" si="3"/>
        <v>0</v>
      </c>
    </row>
    <row r="72" spans="1:8" x14ac:dyDescent="0.25">
      <c r="A72" s="4"/>
      <c r="B72" s="3"/>
      <c r="C72" s="37"/>
      <c r="D72" s="37"/>
      <c r="E72" s="38"/>
      <c r="F72" s="39"/>
      <c r="G72" s="27"/>
      <c r="H72" s="28">
        <f t="shared" si="3"/>
        <v>0</v>
      </c>
    </row>
    <row r="73" spans="1:8" x14ac:dyDescent="0.25">
      <c r="A73" s="4"/>
      <c r="B73" s="3"/>
      <c r="C73" s="37"/>
      <c r="D73" s="37"/>
      <c r="E73" s="38"/>
      <c r="F73" s="39"/>
      <c r="G73" s="27"/>
      <c r="H73" s="28">
        <f t="shared" si="3"/>
        <v>0</v>
      </c>
    </row>
    <row r="74" spans="1:8" x14ac:dyDescent="0.25">
      <c r="A74" s="4"/>
      <c r="B74" s="3"/>
      <c r="C74" s="37"/>
      <c r="D74" s="37"/>
      <c r="E74" s="38"/>
      <c r="F74" s="39"/>
      <c r="G74" s="27"/>
      <c r="H74" s="28">
        <f t="shared" si="3"/>
        <v>0</v>
      </c>
    </row>
    <row r="75" spans="1:8" x14ac:dyDescent="0.25">
      <c r="A75" s="4"/>
      <c r="B75" s="3"/>
      <c r="C75" s="37"/>
      <c r="D75" s="37"/>
      <c r="E75" s="38"/>
      <c r="F75" s="39"/>
      <c r="G75" s="27"/>
      <c r="H75" s="28">
        <f t="shared" si="3"/>
        <v>0</v>
      </c>
    </row>
    <row r="76" spans="1:8" x14ac:dyDescent="0.25">
      <c r="A76" s="4"/>
      <c r="B76" s="3"/>
      <c r="C76" s="37"/>
      <c r="D76" s="37"/>
      <c r="E76" s="38"/>
      <c r="F76" s="39"/>
      <c r="G76" s="27"/>
      <c r="H76" s="28">
        <f t="shared" si="3"/>
        <v>0</v>
      </c>
    </row>
    <row r="77" spans="1:8" x14ac:dyDescent="0.25">
      <c r="A77" s="4"/>
      <c r="B77" s="3"/>
      <c r="C77" s="37"/>
      <c r="D77" s="37"/>
      <c r="E77" s="38"/>
      <c r="F77" s="39"/>
      <c r="G77" s="27"/>
      <c r="H77" s="28">
        <f t="shared" si="3"/>
        <v>0</v>
      </c>
    </row>
    <row r="78" spans="1:8" x14ac:dyDescent="0.25">
      <c r="A78" s="4"/>
      <c r="B78" s="3"/>
      <c r="C78" s="37"/>
      <c r="D78" s="37"/>
      <c r="E78" s="38"/>
      <c r="F78" s="39"/>
      <c r="G78" s="27"/>
      <c r="H78" s="28">
        <f t="shared" si="3"/>
        <v>0</v>
      </c>
    </row>
    <row r="79" spans="1:8" x14ac:dyDescent="0.25">
      <c r="A79" s="4"/>
      <c r="B79" s="3"/>
      <c r="C79" s="37"/>
      <c r="D79" s="37"/>
      <c r="E79" s="38"/>
      <c r="F79" s="39"/>
      <c r="G79" s="27"/>
      <c r="H79" s="28">
        <f t="shared" si="3"/>
        <v>0</v>
      </c>
    </row>
    <row r="80" spans="1:8" x14ac:dyDescent="0.25">
      <c r="A80" s="4"/>
      <c r="B80" s="3"/>
      <c r="C80" s="37"/>
      <c r="D80" s="37"/>
      <c r="E80" s="38"/>
      <c r="F80" s="39"/>
      <c r="G80" s="27"/>
      <c r="H80" s="28">
        <f t="shared" si="3"/>
        <v>0</v>
      </c>
    </row>
    <row r="81" spans="1:8" x14ac:dyDescent="0.25">
      <c r="A81" s="4"/>
      <c r="B81" s="3"/>
      <c r="C81" s="37"/>
      <c r="D81" s="37"/>
      <c r="E81" s="38"/>
      <c r="F81" s="39"/>
      <c r="G81" s="27"/>
      <c r="H81" s="28">
        <f t="shared" si="3"/>
        <v>0</v>
      </c>
    </row>
    <row r="82" spans="1:8" x14ac:dyDescent="0.25">
      <c r="A82" s="4"/>
      <c r="B82" s="3"/>
      <c r="C82" s="37"/>
      <c r="D82" s="37"/>
      <c r="E82" s="38"/>
      <c r="F82" s="39"/>
      <c r="G82" s="27"/>
      <c r="H82" s="28">
        <f t="shared" si="3"/>
        <v>0</v>
      </c>
    </row>
    <row r="83" spans="1:8" x14ac:dyDescent="0.25">
      <c r="A83" s="4"/>
      <c r="B83" s="3"/>
      <c r="C83" s="37"/>
      <c r="D83" s="37"/>
      <c r="E83" s="38"/>
      <c r="F83" s="39"/>
      <c r="G83" s="27"/>
      <c r="H83" s="28">
        <f t="shared" si="3"/>
        <v>0</v>
      </c>
    </row>
    <row r="84" spans="1:8" x14ac:dyDescent="0.25">
      <c r="A84" s="4"/>
      <c r="B84" s="3"/>
      <c r="C84" s="37"/>
      <c r="D84" s="37"/>
      <c r="E84" s="38"/>
      <c r="F84" s="39"/>
      <c r="G84" s="27"/>
      <c r="H84" s="28">
        <f t="shared" si="3"/>
        <v>0</v>
      </c>
    </row>
    <row r="85" spans="1:8" x14ac:dyDescent="0.25">
      <c r="A85" s="4"/>
      <c r="B85" s="3"/>
      <c r="C85" s="37"/>
      <c r="D85" s="37"/>
      <c r="E85" s="38"/>
      <c r="F85" s="39"/>
      <c r="G85" s="27"/>
      <c r="H85" s="28">
        <f t="shared" si="3"/>
        <v>0</v>
      </c>
    </row>
    <row r="86" spans="1:8" x14ac:dyDescent="0.25">
      <c r="A86" s="4"/>
      <c r="B86" s="3"/>
      <c r="C86" s="37"/>
      <c r="D86" s="37"/>
      <c r="E86" s="38"/>
      <c r="F86" s="39"/>
      <c r="G86" s="27"/>
      <c r="H86" s="28">
        <f t="shared" si="3"/>
        <v>0</v>
      </c>
    </row>
    <row r="87" spans="1:8" x14ac:dyDescent="0.25">
      <c r="A87" s="4"/>
      <c r="B87" s="3"/>
      <c r="C87" s="37"/>
      <c r="D87" s="37"/>
      <c r="E87" s="38"/>
      <c r="F87" s="39"/>
      <c r="G87" s="27"/>
      <c r="H87" s="28">
        <f t="shared" si="3"/>
        <v>0</v>
      </c>
    </row>
    <row r="88" spans="1:8" x14ac:dyDescent="0.25">
      <c r="A88" s="4"/>
      <c r="B88" s="3"/>
      <c r="C88" s="37"/>
      <c r="D88" s="37"/>
      <c r="E88" s="38"/>
      <c r="F88" s="39"/>
      <c r="G88" s="27"/>
      <c r="H88" s="28">
        <f t="shared" si="3"/>
        <v>0</v>
      </c>
    </row>
    <row r="89" spans="1:8" x14ac:dyDescent="0.25">
      <c r="A89" s="4"/>
      <c r="B89" s="3"/>
      <c r="C89" s="37"/>
      <c r="D89" s="37"/>
      <c r="E89" s="38"/>
      <c r="F89" s="39"/>
      <c r="G89" s="27"/>
      <c r="H89" s="28">
        <f t="shared" si="3"/>
        <v>0</v>
      </c>
    </row>
    <row r="90" spans="1:8" x14ac:dyDescent="0.25">
      <c r="A90" s="4"/>
      <c r="B90" s="3"/>
      <c r="C90" s="37"/>
      <c r="D90" s="37"/>
      <c r="E90" s="38"/>
      <c r="F90" s="39"/>
      <c r="G90" s="27"/>
      <c r="H90" s="28">
        <f t="shared" ref="H90:H101" si="4">+F90*G90</f>
        <v>0</v>
      </c>
    </row>
    <row r="91" spans="1:8" x14ac:dyDescent="0.25">
      <c r="A91" s="4"/>
      <c r="B91" s="3"/>
      <c r="C91" s="37"/>
      <c r="D91" s="37"/>
      <c r="E91" s="38"/>
      <c r="F91" s="39"/>
      <c r="G91" s="27"/>
      <c r="H91" s="28">
        <f t="shared" si="4"/>
        <v>0</v>
      </c>
    </row>
    <row r="92" spans="1:8" x14ac:dyDescent="0.25">
      <c r="A92" s="4"/>
      <c r="B92" s="3"/>
      <c r="C92" s="37"/>
      <c r="D92" s="37"/>
      <c r="E92" s="38"/>
      <c r="F92" s="39"/>
      <c r="G92" s="27"/>
      <c r="H92" s="28">
        <f t="shared" si="4"/>
        <v>0</v>
      </c>
    </row>
    <row r="93" spans="1:8" x14ac:dyDescent="0.25">
      <c r="A93" s="4"/>
      <c r="B93" s="3"/>
      <c r="C93" s="37"/>
      <c r="D93" s="37"/>
      <c r="E93" s="38"/>
      <c r="F93" s="39"/>
      <c r="G93" s="27"/>
      <c r="H93" s="28">
        <f t="shared" si="4"/>
        <v>0</v>
      </c>
    </row>
    <row r="94" spans="1:8" x14ac:dyDescent="0.25">
      <c r="A94" s="4"/>
      <c r="B94" s="3"/>
      <c r="C94" s="37"/>
      <c r="D94" s="37"/>
      <c r="E94" s="38"/>
      <c r="F94" s="39"/>
      <c r="G94" s="27"/>
      <c r="H94" s="28">
        <f t="shared" si="4"/>
        <v>0</v>
      </c>
    </row>
    <row r="95" spans="1:8" x14ac:dyDescent="0.25">
      <c r="A95" s="4"/>
      <c r="B95" s="3"/>
      <c r="C95" s="37"/>
      <c r="D95" s="37"/>
      <c r="E95" s="38"/>
      <c r="F95" s="39"/>
      <c r="G95" s="27"/>
      <c r="H95" s="28">
        <f t="shared" si="4"/>
        <v>0</v>
      </c>
    </row>
    <row r="96" spans="1:8" x14ac:dyDescent="0.25">
      <c r="A96" s="4"/>
      <c r="B96" s="3"/>
      <c r="C96" s="37"/>
      <c r="D96" s="37"/>
      <c r="E96" s="38"/>
      <c r="F96" s="39"/>
      <c r="G96" s="27"/>
      <c r="H96" s="28">
        <f t="shared" si="4"/>
        <v>0</v>
      </c>
    </row>
    <row r="97" spans="1:8" x14ac:dyDescent="0.25">
      <c r="A97" s="4"/>
      <c r="B97" s="3"/>
      <c r="C97" s="37"/>
      <c r="D97" s="37"/>
      <c r="E97" s="38"/>
      <c r="F97" s="39"/>
      <c r="G97" s="27"/>
      <c r="H97" s="28">
        <f t="shared" si="4"/>
        <v>0</v>
      </c>
    </row>
    <row r="98" spans="1:8" x14ac:dyDescent="0.25">
      <c r="A98" s="4"/>
      <c r="B98" s="3"/>
      <c r="C98" s="37"/>
      <c r="D98" s="37"/>
      <c r="E98" s="38"/>
      <c r="F98" s="39"/>
      <c r="G98" s="27"/>
      <c r="H98" s="28">
        <f t="shared" si="4"/>
        <v>0</v>
      </c>
    </row>
    <row r="99" spans="1:8" x14ac:dyDescent="0.25">
      <c r="A99" s="4"/>
      <c r="B99" s="3"/>
      <c r="C99" s="37"/>
      <c r="D99" s="37"/>
      <c r="E99" s="38"/>
      <c r="F99" s="39"/>
      <c r="G99" s="27"/>
      <c r="H99" s="28">
        <f t="shared" si="4"/>
        <v>0</v>
      </c>
    </row>
    <row r="100" spans="1:8" x14ac:dyDescent="0.25">
      <c r="A100" s="4"/>
      <c r="B100" s="3"/>
      <c r="C100" s="37"/>
      <c r="D100" s="37"/>
      <c r="E100" s="38"/>
      <c r="F100" s="39"/>
      <c r="G100" s="27"/>
      <c r="H100" s="28">
        <f t="shared" si="4"/>
        <v>0</v>
      </c>
    </row>
    <row r="101" spans="1:8" x14ac:dyDescent="0.25">
      <c r="A101" s="4"/>
      <c r="B101" s="3"/>
      <c r="C101" s="37"/>
      <c r="D101" s="37"/>
      <c r="E101" s="38"/>
      <c r="F101" s="39"/>
      <c r="G101" s="27"/>
      <c r="H101" s="28">
        <f t="shared" si="4"/>
        <v>0</v>
      </c>
    </row>
    <row r="102" spans="1:8" x14ac:dyDescent="0.25">
      <c r="A102" s="4"/>
      <c r="B102" s="3"/>
      <c r="C102" s="37"/>
      <c r="D102" s="37"/>
      <c r="E102" s="38"/>
      <c r="F102" s="39"/>
      <c r="G102" s="27"/>
      <c r="H102" s="28">
        <f t="shared" ref="H102:H133" si="5">+F102*G102</f>
        <v>0</v>
      </c>
    </row>
    <row r="103" spans="1:8" x14ac:dyDescent="0.25">
      <c r="A103" s="4"/>
      <c r="B103" s="3"/>
      <c r="C103" s="37"/>
      <c r="D103" s="37"/>
      <c r="E103" s="38"/>
      <c r="F103" s="39"/>
      <c r="G103" s="27"/>
      <c r="H103" s="28">
        <f t="shared" si="5"/>
        <v>0</v>
      </c>
    </row>
    <row r="104" spans="1:8" x14ac:dyDescent="0.25">
      <c r="A104" s="4"/>
      <c r="B104" s="3"/>
      <c r="C104" s="37"/>
      <c r="D104" s="37"/>
      <c r="E104" s="38"/>
      <c r="F104" s="39"/>
      <c r="G104" s="27"/>
      <c r="H104" s="28">
        <f t="shared" si="5"/>
        <v>0</v>
      </c>
    </row>
    <row r="105" spans="1:8" x14ac:dyDescent="0.25">
      <c r="A105" s="4"/>
      <c r="B105" s="3"/>
      <c r="C105" s="37"/>
      <c r="D105" s="37"/>
      <c r="E105" s="38"/>
      <c r="F105" s="39"/>
      <c r="G105" s="27"/>
      <c r="H105" s="28">
        <f t="shared" si="5"/>
        <v>0</v>
      </c>
    </row>
    <row r="106" spans="1:8" x14ac:dyDescent="0.25">
      <c r="A106" s="4"/>
      <c r="B106" s="3"/>
      <c r="C106" s="37"/>
      <c r="D106" s="37"/>
      <c r="E106" s="38"/>
      <c r="F106" s="39"/>
      <c r="G106" s="27"/>
      <c r="H106" s="28">
        <f t="shared" si="5"/>
        <v>0</v>
      </c>
    </row>
    <row r="107" spans="1:8" x14ac:dyDescent="0.25">
      <c r="A107" s="4"/>
      <c r="B107" s="3"/>
      <c r="C107" s="37"/>
      <c r="D107" s="37"/>
      <c r="E107" s="38"/>
      <c r="F107" s="39"/>
      <c r="G107" s="27"/>
      <c r="H107" s="28">
        <f t="shared" si="5"/>
        <v>0</v>
      </c>
    </row>
    <row r="108" spans="1:8" x14ac:dyDescent="0.25">
      <c r="A108" s="4"/>
      <c r="B108" s="3"/>
      <c r="C108" s="37"/>
      <c r="D108" s="37"/>
      <c r="E108" s="38"/>
      <c r="F108" s="39"/>
      <c r="G108" s="27"/>
      <c r="H108" s="28">
        <f t="shared" si="5"/>
        <v>0</v>
      </c>
    </row>
    <row r="109" spans="1:8" x14ac:dyDescent="0.25">
      <c r="A109" s="4"/>
      <c r="B109" s="3"/>
      <c r="C109" s="37"/>
      <c r="D109" s="37"/>
      <c r="E109" s="38"/>
      <c r="F109" s="39"/>
      <c r="G109" s="27"/>
      <c r="H109" s="28">
        <f t="shared" si="5"/>
        <v>0</v>
      </c>
    </row>
    <row r="110" spans="1:8" x14ac:dyDescent="0.25">
      <c r="A110" s="4"/>
      <c r="B110" s="3"/>
      <c r="C110" s="37"/>
      <c r="D110" s="37"/>
      <c r="E110" s="38"/>
      <c r="F110" s="39"/>
      <c r="G110" s="27"/>
      <c r="H110" s="28">
        <f t="shared" si="5"/>
        <v>0</v>
      </c>
    </row>
    <row r="111" spans="1:8" x14ac:dyDescent="0.25">
      <c r="A111" s="4"/>
      <c r="B111" s="3"/>
      <c r="C111" s="37"/>
      <c r="D111" s="37"/>
      <c r="E111" s="38"/>
      <c r="F111" s="39"/>
      <c r="G111" s="27"/>
      <c r="H111" s="28">
        <f t="shared" si="5"/>
        <v>0</v>
      </c>
    </row>
    <row r="112" spans="1:8" x14ac:dyDescent="0.25">
      <c r="A112" s="4"/>
      <c r="B112" s="3"/>
      <c r="C112" s="37"/>
      <c r="D112" s="37"/>
      <c r="E112" s="38"/>
      <c r="F112" s="39"/>
      <c r="G112" s="27"/>
      <c r="H112" s="28">
        <f t="shared" si="5"/>
        <v>0</v>
      </c>
    </row>
    <row r="113" spans="1:8" x14ac:dyDescent="0.25">
      <c r="A113" s="4"/>
      <c r="B113" s="3"/>
      <c r="C113" s="37"/>
      <c r="D113" s="37"/>
      <c r="E113" s="38"/>
      <c r="F113" s="39"/>
      <c r="G113" s="27"/>
      <c r="H113" s="28">
        <f t="shared" si="5"/>
        <v>0</v>
      </c>
    </row>
    <row r="114" spans="1:8" x14ac:dyDescent="0.25">
      <c r="A114" s="4"/>
      <c r="B114" s="3"/>
      <c r="C114" s="37"/>
      <c r="D114" s="37"/>
      <c r="E114" s="38"/>
      <c r="F114" s="39"/>
      <c r="G114" s="27"/>
      <c r="H114" s="28">
        <f t="shared" si="5"/>
        <v>0</v>
      </c>
    </row>
    <row r="115" spans="1:8" x14ac:dyDescent="0.25">
      <c r="A115" s="4"/>
      <c r="B115" s="3"/>
      <c r="C115" s="37"/>
      <c r="D115" s="37"/>
      <c r="E115" s="38"/>
      <c r="F115" s="39"/>
      <c r="G115" s="27"/>
      <c r="H115" s="28">
        <f t="shared" si="5"/>
        <v>0</v>
      </c>
    </row>
    <row r="116" spans="1:8" x14ac:dyDescent="0.25">
      <c r="A116" s="4"/>
      <c r="B116" s="3"/>
      <c r="C116" s="37"/>
      <c r="D116" s="37"/>
      <c r="E116" s="38"/>
      <c r="F116" s="39"/>
      <c r="G116" s="27"/>
      <c r="H116" s="28">
        <f t="shared" si="5"/>
        <v>0</v>
      </c>
    </row>
    <row r="117" spans="1:8" x14ac:dyDescent="0.25">
      <c r="A117" s="4"/>
      <c r="B117" s="3"/>
      <c r="C117" s="37"/>
      <c r="D117" s="37"/>
      <c r="E117" s="38"/>
      <c r="F117" s="39"/>
      <c r="G117" s="27"/>
      <c r="H117" s="28">
        <f t="shared" si="5"/>
        <v>0</v>
      </c>
    </row>
    <row r="118" spans="1:8" x14ac:dyDescent="0.25">
      <c r="A118" s="4"/>
      <c r="B118" s="3"/>
      <c r="C118" s="37"/>
      <c r="D118" s="37"/>
      <c r="E118" s="38"/>
      <c r="F118" s="39"/>
      <c r="G118" s="27"/>
      <c r="H118" s="28">
        <f t="shared" si="5"/>
        <v>0</v>
      </c>
    </row>
    <row r="119" spans="1:8" x14ac:dyDescent="0.25">
      <c r="A119" s="4"/>
      <c r="B119" s="3"/>
      <c r="C119" s="37"/>
      <c r="D119" s="37"/>
      <c r="E119" s="38"/>
      <c r="F119" s="39"/>
      <c r="G119" s="27"/>
      <c r="H119" s="28">
        <f t="shared" si="5"/>
        <v>0</v>
      </c>
    </row>
    <row r="120" spans="1:8" x14ac:dyDescent="0.25">
      <c r="A120" s="4"/>
      <c r="B120" s="3"/>
      <c r="C120" s="37"/>
      <c r="D120" s="37"/>
      <c r="E120" s="38"/>
      <c r="F120" s="39"/>
      <c r="G120" s="27"/>
      <c r="H120" s="28">
        <f t="shared" si="5"/>
        <v>0</v>
      </c>
    </row>
    <row r="121" spans="1:8" x14ac:dyDescent="0.25">
      <c r="A121" s="4"/>
      <c r="B121" s="3"/>
      <c r="C121" s="37"/>
      <c r="D121" s="37"/>
      <c r="E121" s="38"/>
      <c r="F121" s="39"/>
      <c r="G121" s="27"/>
      <c r="H121" s="28">
        <f t="shared" si="5"/>
        <v>0</v>
      </c>
    </row>
    <row r="122" spans="1:8" x14ac:dyDescent="0.25">
      <c r="A122" s="4"/>
      <c r="B122" s="3"/>
      <c r="C122" s="37"/>
      <c r="D122" s="37"/>
      <c r="E122" s="38"/>
      <c r="F122" s="39"/>
      <c r="G122" s="27"/>
      <c r="H122" s="28">
        <f t="shared" si="5"/>
        <v>0</v>
      </c>
    </row>
    <row r="123" spans="1:8" x14ac:dyDescent="0.25">
      <c r="A123" s="4"/>
      <c r="B123" s="3"/>
      <c r="C123" s="37"/>
      <c r="D123" s="37"/>
      <c r="E123" s="38"/>
      <c r="F123" s="39"/>
      <c r="G123" s="27"/>
      <c r="H123" s="28">
        <f t="shared" si="5"/>
        <v>0</v>
      </c>
    </row>
    <row r="124" spans="1:8" x14ac:dyDescent="0.25">
      <c r="A124" s="4"/>
      <c r="B124" s="3"/>
      <c r="C124" s="37"/>
      <c r="D124" s="37"/>
      <c r="E124" s="38"/>
      <c r="F124" s="39"/>
      <c r="G124" s="27"/>
      <c r="H124" s="28">
        <f t="shared" si="5"/>
        <v>0</v>
      </c>
    </row>
    <row r="125" spans="1:8" x14ac:dyDescent="0.25">
      <c r="A125" s="4"/>
      <c r="B125" s="3"/>
      <c r="C125" s="37"/>
      <c r="D125" s="37"/>
      <c r="E125" s="38"/>
      <c r="F125" s="39"/>
      <c r="G125" s="27"/>
      <c r="H125" s="28">
        <f t="shared" si="5"/>
        <v>0</v>
      </c>
    </row>
    <row r="126" spans="1:8" x14ac:dyDescent="0.25">
      <c r="A126" s="4"/>
      <c r="B126" s="3"/>
      <c r="C126" s="37"/>
      <c r="D126" s="37"/>
      <c r="E126" s="38"/>
      <c r="F126" s="39"/>
      <c r="G126" s="27"/>
      <c r="H126" s="28">
        <f t="shared" si="5"/>
        <v>0</v>
      </c>
    </row>
    <row r="127" spans="1:8" x14ac:dyDescent="0.25">
      <c r="A127" s="4"/>
      <c r="B127" s="3"/>
      <c r="C127" s="37"/>
      <c r="D127" s="37"/>
      <c r="E127" s="38"/>
      <c r="F127" s="39"/>
      <c r="G127" s="27"/>
      <c r="H127" s="28">
        <f t="shared" si="5"/>
        <v>0</v>
      </c>
    </row>
    <row r="128" spans="1:8" x14ac:dyDescent="0.25">
      <c r="A128" s="4"/>
      <c r="B128" s="3"/>
      <c r="C128" s="37"/>
      <c r="D128" s="37"/>
      <c r="E128" s="38"/>
      <c r="F128" s="39"/>
      <c r="G128" s="27"/>
      <c r="H128" s="28">
        <f t="shared" si="5"/>
        <v>0</v>
      </c>
    </row>
    <row r="129" spans="1:8" x14ac:dyDescent="0.25">
      <c r="A129" s="4"/>
      <c r="B129" s="3"/>
      <c r="C129" s="37"/>
      <c r="D129" s="37"/>
      <c r="E129" s="38"/>
      <c r="F129" s="39"/>
      <c r="G129" s="27"/>
      <c r="H129" s="28">
        <f t="shared" si="5"/>
        <v>0</v>
      </c>
    </row>
    <row r="130" spans="1:8" x14ac:dyDescent="0.25">
      <c r="A130" s="4"/>
      <c r="B130" s="3"/>
      <c r="C130" s="37"/>
      <c r="D130" s="37"/>
      <c r="E130" s="38"/>
      <c r="F130" s="39"/>
      <c r="G130" s="27"/>
      <c r="H130" s="28">
        <f t="shared" si="5"/>
        <v>0</v>
      </c>
    </row>
    <row r="131" spans="1:8" x14ac:dyDescent="0.25">
      <c r="A131" s="4"/>
      <c r="B131" s="3"/>
      <c r="C131" s="37"/>
      <c r="D131" s="37"/>
      <c r="E131" s="38"/>
      <c r="F131" s="39"/>
      <c r="G131" s="27"/>
      <c r="H131" s="28">
        <f t="shared" si="5"/>
        <v>0</v>
      </c>
    </row>
    <row r="132" spans="1:8" x14ac:dyDescent="0.25">
      <c r="A132" s="4"/>
      <c r="B132" s="3"/>
      <c r="C132" s="37"/>
      <c r="D132" s="37"/>
      <c r="E132" s="38"/>
      <c r="F132" s="39"/>
      <c r="G132" s="27"/>
      <c r="H132" s="28">
        <f t="shared" si="5"/>
        <v>0</v>
      </c>
    </row>
    <row r="133" spans="1:8" x14ac:dyDescent="0.25">
      <c r="A133" s="4"/>
      <c r="B133" s="3"/>
      <c r="C133" s="37"/>
      <c r="D133" s="37"/>
      <c r="E133" s="38"/>
      <c r="F133" s="39"/>
      <c r="G133" s="27"/>
      <c r="H133" s="28">
        <f t="shared" si="5"/>
        <v>0</v>
      </c>
    </row>
    <row r="134" spans="1:8" x14ac:dyDescent="0.25">
      <c r="A134" s="4"/>
      <c r="B134" s="3"/>
      <c r="C134" s="37"/>
      <c r="D134" s="37"/>
      <c r="E134" s="38"/>
      <c r="F134" s="39"/>
      <c r="G134" s="27"/>
      <c r="H134" s="28">
        <f t="shared" ref="H134:H165" si="6">+F134*G134</f>
        <v>0</v>
      </c>
    </row>
    <row r="135" spans="1:8" x14ac:dyDescent="0.25">
      <c r="A135" s="4"/>
      <c r="B135" s="3"/>
      <c r="C135" s="37"/>
      <c r="D135" s="37"/>
      <c r="E135" s="38"/>
      <c r="F135" s="39"/>
      <c r="G135" s="27"/>
      <c r="H135" s="28">
        <f t="shared" si="6"/>
        <v>0</v>
      </c>
    </row>
    <row r="136" spans="1:8" x14ac:dyDescent="0.25">
      <c r="A136" s="4"/>
      <c r="B136" s="3"/>
      <c r="C136" s="37"/>
      <c r="D136" s="37"/>
      <c r="E136" s="38"/>
      <c r="F136" s="39"/>
      <c r="G136" s="27"/>
      <c r="H136" s="28">
        <f t="shared" si="6"/>
        <v>0</v>
      </c>
    </row>
    <row r="137" spans="1:8" x14ac:dyDescent="0.25">
      <c r="A137" s="4"/>
      <c r="B137" s="3"/>
      <c r="C137" s="37"/>
      <c r="D137" s="37"/>
      <c r="E137" s="38"/>
      <c r="F137" s="39"/>
      <c r="G137" s="27"/>
      <c r="H137" s="28">
        <f t="shared" si="6"/>
        <v>0</v>
      </c>
    </row>
    <row r="138" spans="1:8" x14ac:dyDescent="0.25">
      <c r="A138" s="4"/>
      <c r="B138" s="3"/>
      <c r="C138" s="37"/>
      <c r="D138" s="37"/>
      <c r="E138" s="38"/>
      <c r="F138" s="39"/>
      <c r="G138" s="27"/>
      <c r="H138" s="28">
        <f t="shared" si="6"/>
        <v>0</v>
      </c>
    </row>
    <row r="139" spans="1:8" x14ac:dyDescent="0.25">
      <c r="A139" s="4"/>
      <c r="B139" s="3"/>
      <c r="C139" s="37"/>
      <c r="D139" s="37"/>
      <c r="E139" s="38"/>
      <c r="F139" s="39"/>
      <c r="G139" s="27"/>
      <c r="H139" s="28">
        <f t="shared" si="6"/>
        <v>0</v>
      </c>
    </row>
    <row r="140" spans="1:8" x14ac:dyDescent="0.25">
      <c r="A140" s="4"/>
      <c r="B140" s="3"/>
      <c r="C140" s="37"/>
      <c r="D140" s="37"/>
      <c r="E140" s="38"/>
      <c r="F140" s="39"/>
      <c r="G140" s="27"/>
      <c r="H140" s="28">
        <f t="shared" si="6"/>
        <v>0</v>
      </c>
    </row>
    <row r="141" spans="1:8" x14ac:dyDescent="0.25">
      <c r="A141" s="4"/>
      <c r="B141" s="3"/>
      <c r="C141" s="37"/>
      <c r="D141" s="37"/>
      <c r="E141" s="38"/>
      <c r="F141" s="39"/>
      <c r="G141" s="27"/>
      <c r="H141" s="28">
        <f t="shared" si="6"/>
        <v>0</v>
      </c>
    </row>
    <row r="142" spans="1:8" x14ac:dyDescent="0.25">
      <c r="A142" s="4"/>
      <c r="B142" s="3"/>
      <c r="C142" s="37"/>
      <c r="D142" s="37"/>
      <c r="E142" s="38"/>
      <c r="F142" s="39"/>
      <c r="G142" s="27"/>
      <c r="H142" s="28">
        <f t="shared" si="6"/>
        <v>0</v>
      </c>
    </row>
    <row r="143" spans="1:8" x14ac:dyDescent="0.25">
      <c r="A143" s="4"/>
      <c r="B143" s="3"/>
      <c r="C143" s="37"/>
      <c r="D143" s="37"/>
      <c r="E143" s="38"/>
      <c r="F143" s="39"/>
      <c r="G143" s="27"/>
      <c r="H143" s="28">
        <f t="shared" si="6"/>
        <v>0</v>
      </c>
    </row>
    <row r="144" spans="1:8" x14ac:dyDescent="0.25">
      <c r="A144" s="4"/>
      <c r="B144" s="3"/>
      <c r="C144" s="37"/>
      <c r="D144" s="37"/>
      <c r="E144" s="38"/>
      <c r="F144" s="39"/>
      <c r="G144" s="27"/>
      <c r="H144" s="28">
        <f t="shared" si="6"/>
        <v>0</v>
      </c>
    </row>
    <row r="145" spans="1:8" x14ac:dyDescent="0.25">
      <c r="A145" s="4"/>
      <c r="B145" s="3"/>
      <c r="C145" s="37"/>
      <c r="D145" s="37"/>
      <c r="E145" s="38"/>
      <c r="F145" s="39"/>
      <c r="G145" s="27"/>
      <c r="H145" s="28">
        <f t="shared" si="6"/>
        <v>0</v>
      </c>
    </row>
    <row r="146" spans="1:8" x14ac:dyDescent="0.25">
      <c r="A146" s="4"/>
      <c r="B146" s="3"/>
      <c r="C146" s="37"/>
      <c r="D146" s="37"/>
      <c r="E146" s="38"/>
      <c r="F146" s="39"/>
      <c r="G146" s="27"/>
      <c r="H146" s="28">
        <f t="shared" si="6"/>
        <v>0</v>
      </c>
    </row>
    <row r="147" spans="1:8" x14ac:dyDescent="0.25">
      <c r="A147" s="4"/>
      <c r="B147" s="3"/>
      <c r="C147" s="37"/>
      <c r="D147" s="37"/>
      <c r="E147" s="38"/>
      <c r="F147" s="39"/>
      <c r="G147" s="27"/>
      <c r="H147" s="28">
        <f t="shared" si="6"/>
        <v>0</v>
      </c>
    </row>
    <row r="148" spans="1:8" x14ac:dyDescent="0.25">
      <c r="A148" s="4"/>
      <c r="B148" s="3"/>
      <c r="C148" s="37"/>
      <c r="D148" s="37"/>
      <c r="E148" s="38"/>
      <c r="F148" s="39"/>
      <c r="G148" s="27"/>
      <c r="H148" s="28">
        <f t="shared" si="6"/>
        <v>0</v>
      </c>
    </row>
    <row r="149" spans="1:8" x14ac:dyDescent="0.25">
      <c r="A149" s="4"/>
      <c r="B149" s="3"/>
      <c r="C149" s="37"/>
      <c r="D149" s="37"/>
      <c r="E149" s="38"/>
      <c r="F149" s="39"/>
      <c r="G149" s="27"/>
      <c r="H149" s="28">
        <f t="shared" si="6"/>
        <v>0</v>
      </c>
    </row>
    <row r="150" spans="1:8" x14ac:dyDescent="0.25">
      <c r="A150" s="4"/>
      <c r="B150" s="3"/>
      <c r="C150" s="37"/>
      <c r="D150" s="37"/>
      <c r="E150" s="38"/>
      <c r="F150" s="39"/>
      <c r="G150" s="27"/>
      <c r="H150" s="28">
        <f t="shared" si="6"/>
        <v>0</v>
      </c>
    </row>
    <row r="151" spans="1:8" x14ac:dyDescent="0.25">
      <c r="A151" s="4"/>
      <c r="B151" s="3"/>
      <c r="C151" s="37"/>
      <c r="D151" s="37"/>
      <c r="E151" s="38"/>
      <c r="F151" s="39"/>
      <c r="G151" s="27"/>
      <c r="H151" s="28">
        <f t="shared" si="6"/>
        <v>0</v>
      </c>
    </row>
    <row r="152" spans="1:8" x14ac:dyDescent="0.25">
      <c r="A152" s="4"/>
      <c r="B152" s="3"/>
      <c r="C152" s="37"/>
      <c r="D152" s="37"/>
      <c r="E152" s="38"/>
      <c r="F152" s="39"/>
      <c r="G152" s="27"/>
      <c r="H152" s="28">
        <f t="shared" si="6"/>
        <v>0</v>
      </c>
    </row>
    <row r="153" spans="1:8" x14ac:dyDescent="0.25">
      <c r="A153" s="4"/>
      <c r="B153" s="3"/>
      <c r="C153" s="37"/>
      <c r="D153" s="37"/>
      <c r="E153" s="38"/>
      <c r="F153" s="39"/>
      <c r="G153" s="27"/>
      <c r="H153" s="28">
        <f t="shared" si="6"/>
        <v>0</v>
      </c>
    </row>
    <row r="154" spans="1:8" x14ac:dyDescent="0.25">
      <c r="A154" s="4"/>
      <c r="B154" s="3"/>
      <c r="C154" s="37"/>
      <c r="D154" s="37"/>
      <c r="E154" s="38"/>
      <c r="F154" s="39"/>
      <c r="G154" s="27"/>
      <c r="H154" s="28">
        <f t="shared" si="6"/>
        <v>0</v>
      </c>
    </row>
    <row r="155" spans="1:8" x14ac:dyDescent="0.25">
      <c r="A155" s="4"/>
      <c r="B155" s="3"/>
      <c r="C155" s="37"/>
      <c r="D155" s="37"/>
      <c r="E155" s="38"/>
      <c r="F155" s="39"/>
      <c r="G155" s="27"/>
      <c r="H155" s="28">
        <f t="shared" si="6"/>
        <v>0</v>
      </c>
    </row>
    <row r="156" spans="1:8" x14ac:dyDescent="0.25">
      <c r="A156" s="4"/>
      <c r="B156" s="3"/>
      <c r="C156" s="37"/>
      <c r="D156" s="37"/>
      <c r="E156" s="38"/>
      <c r="F156" s="39"/>
      <c r="G156" s="27"/>
      <c r="H156" s="28">
        <f t="shared" si="6"/>
        <v>0</v>
      </c>
    </row>
    <row r="157" spans="1:8" x14ac:dyDescent="0.25">
      <c r="A157" s="4"/>
      <c r="B157" s="3"/>
      <c r="C157" s="37"/>
      <c r="D157" s="37"/>
      <c r="E157" s="38"/>
      <c r="F157" s="39"/>
      <c r="G157" s="27"/>
      <c r="H157" s="28">
        <f t="shared" si="6"/>
        <v>0</v>
      </c>
    </row>
    <row r="158" spans="1:8" x14ac:dyDescent="0.25">
      <c r="A158" s="4"/>
      <c r="B158" s="3"/>
      <c r="C158" s="37"/>
      <c r="D158" s="37"/>
      <c r="E158" s="38"/>
      <c r="F158" s="39"/>
      <c r="G158" s="27"/>
      <c r="H158" s="28">
        <f t="shared" si="6"/>
        <v>0</v>
      </c>
    </row>
    <row r="159" spans="1:8" x14ac:dyDescent="0.25">
      <c r="A159" s="4"/>
      <c r="B159" s="3"/>
      <c r="C159" s="37"/>
      <c r="D159" s="37"/>
      <c r="E159" s="38"/>
      <c r="F159" s="39"/>
      <c r="G159" s="27"/>
      <c r="H159" s="28">
        <f t="shared" si="6"/>
        <v>0</v>
      </c>
    </row>
    <row r="160" spans="1:8" x14ac:dyDescent="0.25">
      <c r="A160" s="4"/>
      <c r="B160" s="3"/>
      <c r="C160" s="37"/>
      <c r="D160" s="37"/>
      <c r="E160" s="38"/>
      <c r="F160" s="39"/>
      <c r="G160" s="27"/>
      <c r="H160" s="28">
        <f t="shared" si="6"/>
        <v>0</v>
      </c>
    </row>
    <row r="161" spans="1:8" x14ac:dyDescent="0.25">
      <c r="A161" s="4"/>
      <c r="B161" s="3"/>
      <c r="C161" s="37"/>
      <c r="D161" s="37"/>
      <c r="E161" s="38"/>
      <c r="F161" s="39"/>
      <c r="G161" s="27"/>
      <c r="H161" s="28">
        <f t="shared" si="6"/>
        <v>0</v>
      </c>
    </row>
    <row r="162" spans="1:8" x14ac:dyDescent="0.25">
      <c r="A162" s="4"/>
      <c r="B162" s="3"/>
      <c r="C162" s="37"/>
      <c r="D162" s="37"/>
      <c r="E162" s="38"/>
      <c r="F162" s="39"/>
      <c r="G162" s="27"/>
      <c r="H162" s="28">
        <f t="shared" si="6"/>
        <v>0</v>
      </c>
    </row>
    <row r="163" spans="1:8" x14ac:dyDescent="0.25">
      <c r="A163" s="4"/>
      <c r="B163" s="3"/>
      <c r="C163" s="37"/>
      <c r="D163" s="37"/>
      <c r="E163" s="38"/>
      <c r="F163" s="39"/>
      <c r="G163" s="27"/>
      <c r="H163" s="28">
        <f t="shared" si="6"/>
        <v>0</v>
      </c>
    </row>
    <row r="164" spans="1:8" x14ac:dyDescent="0.25">
      <c r="A164" s="4"/>
      <c r="B164" s="3"/>
      <c r="C164" s="37"/>
      <c r="D164" s="37"/>
      <c r="E164" s="38"/>
      <c r="F164" s="39"/>
      <c r="G164" s="27"/>
      <c r="H164" s="28">
        <f t="shared" si="6"/>
        <v>0</v>
      </c>
    </row>
    <row r="165" spans="1:8" x14ac:dyDescent="0.25">
      <c r="A165" s="4"/>
      <c r="B165" s="3"/>
      <c r="C165" s="37"/>
      <c r="D165" s="37"/>
      <c r="E165" s="38"/>
      <c r="F165" s="39"/>
      <c r="G165" s="27"/>
      <c r="H165" s="28">
        <f t="shared" si="6"/>
        <v>0</v>
      </c>
    </row>
    <row r="166" spans="1:8" x14ac:dyDescent="0.25">
      <c r="A166" s="4"/>
      <c r="B166" s="3"/>
      <c r="C166" s="37"/>
      <c r="D166" s="37"/>
      <c r="E166" s="38"/>
      <c r="F166" s="39"/>
      <c r="G166" s="27"/>
      <c r="H166" s="28">
        <f t="shared" ref="H166:H197" si="7">+F166*G166</f>
        <v>0</v>
      </c>
    </row>
    <row r="167" spans="1:8" x14ac:dyDescent="0.25">
      <c r="A167" s="4"/>
      <c r="B167" s="3"/>
      <c r="C167" s="37"/>
      <c r="D167" s="37"/>
      <c r="E167" s="38"/>
      <c r="F167" s="39"/>
      <c r="G167" s="27"/>
      <c r="H167" s="28">
        <f t="shared" si="7"/>
        <v>0</v>
      </c>
    </row>
    <row r="168" spans="1:8" x14ac:dyDescent="0.25">
      <c r="A168" s="4"/>
      <c r="B168" s="3"/>
      <c r="C168" s="37"/>
      <c r="D168" s="37"/>
      <c r="E168" s="38"/>
      <c r="F168" s="39"/>
      <c r="G168" s="27"/>
      <c r="H168" s="28">
        <f t="shared" si="7"/>
        <v>0</v>
      </c>
    </row>
    <row r="169" spans="1:8" x14ac:dyDescent="0.25">
      <c r="A169" s="4"/>
      <c r="B169" s="3"/>
      <c r="C169" s="37"/>
      <c r="D169" s="37"/>
      <c r="E169" s="38"/>
      <c r="F169" s="39"/>
      <c r="G169" s="27"/>
      <c r="H169" s="28">
        <f t="shared" si="7"/>
        <v>0</v>
      </c>
    </row>
    <row r="170" spans="1:8" x14ac:dyDescent="0.25">
      <c r="A170" s="4"/>
      <c r="B170" s="3"/>
      <c r="C170" s="37"/>
      <c r="D170" s="37"/>
      <c r="E170" s="38"/>
      <c r="F170" s="39"/>
      <c r="G170" s="27"/>
      <c r="H170" s="28">
        <f t="shared" si="7"/>
        <v>0</v>
      </c>
    </row>
    <row r="171" spans="1:8" x14ac:dyDescent="0.25">
      <c r="A171" s="4"/>
      <c r="B171" s="3"/>
      <c r="C171" s="37"/>
      <c r="D171" s="37"/>
      <c r="E171" s="38"/>
      <c r="F171" s="39"/>
      <c r="G171" s="27"/>
      <c r="H171" s="28">
        <f t="shared" si="7"/>
        <v>0</v>
      </c>
    </row>
    <row r="172" spans="1:8" x14ac:dyDescent="0.25">
      <c r="A172" s="4"/>
      <c r="B172" s="3"/>
      <c r="C172" s="37"/>
      <c r="D172" s="37"/>
      <c r="E172" s="38"/>
      <c r="F172" s="39"/>
      <c r="G172" s="27"/>
      <c r="H172" s="28">
        <f t="shared" si="7"/>
        <v>0</v>
      </c>
    </row>
    <row r="173" spans="1:8" x14ac:dyDescent="0.25">
      <c r="A173" s="4"/>
      <c r="B173" s="3"/>
      <c r="C173" s="37"/>
      <c r="D173" s="37"/>
      <c r="E173" s="38"/>
      <c r="F173" s="39"/>
      <c r="G173" s="27"/>
      <c r="H173" s="28">
        <f t="shared" si="7"/>
        <v>0</v>
      </c>
    </row>
    <row r="174" spans="1:8" x14ac:dyDescent="0.25">
      <c r="A174" s="4"/>
      <c r="B174" s="3"/>
      <c r="C174" s="37"/>
      <c r="D174" s="37"/>
      <c r="E174" s="38"/>
      <c r="F174" s="39"/>
      <c r="G174" s="27"/>
      <c r="H174" s="28">
        <f t="shared" si="7"/>
        <v>0</v>
      </c>
    </row>
    <row r="175" spans="1:8" x14ac:dyDescent="0.25">
      <c r="A175" s="4"/>
      <c r="B175" s="3"/>
      <c r="C175" s="37"/>
      <c r="D175" s="37"/>
      <c r="E175" s="38"/>
      <c r="F175" s="39"/>
      <c r="G175" s="27"/>
      <c r="H175" s="28">
        <f t="shared" si="7"/>
        <v>0</v>
      </c>
    </row>
    <row r="176" spans="1:8" x14ac:dyDescent="0.25">
      <c r="A176" s="4"/>
      <c r="B176" s="3"/>
      <c r="C176" s="37"/>
      <c r="D176" s="37"/>
      <c r="E176" s="38"/>
      <c r="F176" s="39"/>
      <c r="G176" s="27"/>
      <c r="H176" s="28">
        <f t="shared" si="7"/>
        <v>0</v>
      </c>
    </row>
    <row r="177" spans="1:8" x14ac:dyDescent="0.25">
      <c r="A177" s="4"/>
      <c r="B177" s="3"/>
      <c r="C177" s="37"/>
      <c r="D177" s="37"/>
      <c r="E177" s="38"/>
      <c r="F177" s="39"/>
      <c r="G177" s="27"/>
      <c r="H177" s="28">
        <f t="shared" si="7"/>
        <v>0</v>
      </c>
    </row>
    <row r="178" spans="1:8" x14ac:dyDescent="0.25">
      <c r="A178" s="4"/>
      <c r="B178" s="3"/>
      <c r="C178" s="37"/>
      <c r="D178" s="37"/>
      <c r="E178" s="38"/>
      <c r="F178" s="39"/>
      <c r="G178" s="27"/>
      <c r="H178" s="28">
        <f t="shared" si="7"/>
        <v>0</v>
      </c>
    </row>
    <row r="179" spans="1:8" x14ac:dyDescent="0.25">
      <c r="A179" s="4"/>
      <c r="B179" s="3"/>
      <c r="C179" s="37"/>
      <c r="D179" s="37"/>
      <c r="E179" s="38"/>
      <c r="F179" s="39"/>
      <c r="G179" s="27"/>
      <c r="H179" s="28">
        <f t="shared" si="7"/>
        <v>0</v>
      </c>
    </row>
    <row r="180" spans="1:8" x14ac:dyDescent="0.25">
      <c r="A180" s="4"/>
      <c r="B180" s="3"/>
      <c r="C180" s="37"/>
      <c r="D180" s="37"/>
      <c r="E180" s="38"/>
      <c r="F180" s="39"/>
      <c r="G180" s="27"/>
      <c r="H180" s="28">
        <f t="shared" si="7"/>
        <v>0</v>
      </c>
    </row>
    <row r="181" spans="1:8" x14ac:dyDescent="0.25">
      <c r="A181" s="4"/>
      <c r="B181" s="3"/>
      <c r="C181" s="37"/>
      <c r="D181" s="37"/>
      <c r="E181" s="38"/>
      <c r="F181" s="39"/>
      <c r="G181" s="27"/>
      <c r="H181" s="28">
        <f t="shared" si="7"/>
        <v>0</v>
      </c>
    </row>
    <row r="182" spans="1:8" x14ac:dyDescent="0.25">
      <c r="A182" s="4"/>
      <c r="B182" s="3"/>
      <c r="C182" s="37"/>
      <c r="D182" s="37"/>
      <c r="E182" s="38"/>
      <c r="F182" s="39"/>
      <c r="G182" s="27"/>
      <c r="H182" s="28">
        <f t="shared" si="7"/>
        <v>0</v>
      </c>
    </row>
    <row r="183" spans="1:8" x14ac:dyDescent="0.25">
      <c r="A183" s="4"/>
      <c r="B183" s="3"/>
      <c r="C183" s="37"/>
      <c r="D183" s="37"/>
      <c r="E183" s="38"/>
      <c r="F183" s="39"/>
      <c r="G183" s="27"/>
      <c r="H183" s="28">
        <f t="shared" si="7"/>
        <v>0</v>
      </c>
    </row>
    <row r="184" spans="1:8" x14ac:dyDescent="0.25">
      <c r="A184" s="4"/>
      <c r="B184" s="3"/>
      <c r="C184" s="37"/>
      <c r="D184" s="37"/>
      <c r="E184" s="38"/>
      <c r="F184" s="39"/>
      <c r="G184" s="27"/>
      <c r="H184" s="28">
        <f t="shared" si="7"/>
        <v>0</v>
      </c>
    </row>
    <row r="185" spans="1:8" x14ac:dyDescent="0.25">
      <c r="A185" s="4"/>
      <c r="B185" s="3"/>
      <c r="C185" s="37"/>
      <c r="D185" s="37"/>
      <c r="E185" s="38"/>
      <c r="F185" s="39"/>
      <c r="G185" s="27"/>
      <c r="H185" s="28">
        <f t="shared" si="7"/>
        <v>0</v>
      </c>
    </row>
    <row r="186" spans="1:8" x14ac:dyDescent="0.25">
      <c r="A186" s="4"/>
      <c r="B186" s="3"/>
      <c r="C186" s="37"/>
      <c r="D186" s="37"/>
      <c r="E186" s="38"/>
      <c r="F186" s="39"/>
      <c r="G186" s="27"/>
      <c r="H186" s="28">
        <f t="shared" si="7"/>
        <v>0</v>
      </c>
    </row>
    <row r="187" spans="1:8" x14ac:dyDescent="0.25">
      <c r="A187" s="4"/>
      <c r="B187" s="3"/>
      <c r="C187" s="37"/>
      <c r="D187" s="37"/>
      <c r="E187" s="38"/>
      <c r="F187" s="39"/>
      <c r="G187" s="27"/>
      <c r="H187" s="28">
        <f t="shared" si="7"/>
        <v>0</v>
      </c>
    </row>
    <row r="188" spans="1:8" x14ac:dyDescent="0.25">
      <c r="A188" s="4"/>
      <c r="B188" s="3"/>
      <c r="C188" s="37"/>
      <c r="D188" s="37"/>
      <c r="E188" s="38"/>
      <c r="F188" s="39"/>
      <c r="G188" s="27"/>
      <c r="H188" s="28">
        <f t="shared" si="7"/>
        <v>0</v>
      </c>
    </row>
    <row r="189" spans="1:8" x14ac:dyDescent="0.25">
      <c r="A189" s="4"/>
      <c r="B189" s="3"/>
      <c r="C189" s="37"/>
      <c r="D189" s="37"/>
      <c r="E189" s="38"/>
      <c r="F189" s="39"/>
      <c r="G189" s="27"/>
      <c r="H189" s="28">
        <f t="shared" si="7"/>
        <v>0</v>
      </c>
    </row>
    <row r="190" spans="1:8" x14ac:dyDescent="0.25">
      <c r="A190" s="4"/>
      <c r="B190" s="3"/>
      <c r="C190" s="37"/>
      <c r="D190" s="37"/>
      <c r="E190" s="38"/>
      <c r="F190" s="39"/>
      <c r="G190" s="27"/>
      <c r="H190" s="28">
        <f t="shared" si="7"/>
        <v>0</v>
      </c>
    </row>
    <row r="191" spans="1:8" x14ac:dyDescent="0.25">
      <c r="A191" s="4"/>
      <c r="B191" s="3"/>
      <c r="C191" s="37"/>
      <c r="D191" s="37"/>
      <c r="E191" s="38"/>
      <c r="F191" s="39"/>
      <c r="G191" s="27"/>
      <c r="H191" s="28">
        <f t="shared" si="7"/>
        <v>0</v>
      </c>
    </row>
    <row r="192" spans="1:8" x14ac:dyDescent="0.25">
      <c r="A192" s="4"/>
      <c r="B192" s="3"/>
      <c r="C192" s="37"/>
      <c r="D192" s="37"/>
      <c r="E192" s="38"/>
      <c r="F192" s="39"/>
      <c r="G192" s="27"/>
      <c r="H192" s="28">
        <f t="shared" si="7"/>
        <v>0</v>
      </c>
    </row>
    <row r="193" spans="1:8" x14ac:dyDescent="0.25">
      <c r="A193" s="4"/>
      <c r="B193" s="3"/>
      <c r="C193" s="37"/>
      <c r="D193" s="37"/>
      <c r="E193" s="38"/>
      <c r="F193" s="39"/>
      <c r="G193" s="27"/>
      <c r="H193" s="28">
        <f t="shared" si="7"/>
        <v>0</v>
      </c>
    </row>
    <row r="194" spans="1:8" x14ac:dyDescent="0.25">
      <c r="A194" s="4"/>
      <c r="B194" s="3"/>
      <c r="C194" s="37"/>
      <c r="D194" s="37"/>
      <c r="E194" s="38"/>
      <c r="F194" s="39"/>
      <c r="G194" s="27"/>
      <c r="H194" s="28">
        <f t="shared" si="7"/>
        <v>0</v>
      </c>
    </row>
    <row r="195" spans="1:8" x14ac:dyDescent="0.25">
      <c r="A195" s="4"/>
      <c r="B195" s="3"/>
      <c r="C195" s="37"/>
      <c r="D195" s="37"/>
      <c r="E195" s="38"/>
      <c r="F195" s="39"/>
      <c r="G195" s="27"/>
      <c r="H195" s="28">
        <f t="shared" si="7"/>
        <v>0</v>
      </c>
    </row>
    <row r="196" spans="1:8" x14ac:dyDescent="0.25">
      <c r="A196" s="4"/>
      <c r="B196" s="3"/>
      <c r="C196" s="37"/>
      <c r="D196" s="37"/>
      <c r="E196" s="38"/>
      <c r="F196" s="39"/>
      <c r="G196" s="27"/>
      <c r="H196" s="28">
        <f t="shared" si="7"/>
        <v>0</v>
      </c>
    </row>
    <row r="197" spans="1:8" x14ac:dyDescent="0.25">
      <c r="A197" s="4"/>
      <c r="B197" s="3"/>
      <c r="C197" s="37"/>
      <c r="D197" s="37"/>
      <c r="E197" s="38"/>
      <c r="F197" s="39"/>
      <c r="G197" s="27"/>
      <c r="H197" s="28">
        <f t="shared" si="7"/>
        <v>0</v>
      </c>
    </row>
    <row r="198" spans="1:8" x14ac:dyDescent="0.25">
      <c r="A198" s="4"/>
      <c r="B198" s="3"/>
      <c r="C198" s="37"/>
      <c r="D198" s="37"/>
      <c r="E198" s="38"/>
      <c r="F198" s="39"/>
      <c r="G198" s="27"/>
      <c r="H198" s="28">
        <f t="shared" ref="H198:H200" si="8">+F198*G198</f>
        <v>0</v>
      </c>
    </row>
    <row r="199" spans="1:8" x14ac:dyDescent="0.25">
      <c r="A199" s="4"/>
      <c r="B199" s="3"/>
      <c r="C199" s="37"/>
      <c r="D199" s="37"/>
      <c r="E199" s="38"/>
      <c r="F199" s="39"/>
      <c r="G199" s="27"/>
      <c r="H199" s="28">
        <f t="shared" si="8"/>
        <v>0</v>
      </c>
    </row>
    <row r="200" spans="1:8" ht="16.5" thickBot="1" x14ac:dyDescent="0.3">
      <c r="A200" s="5"/>
      <c r="B200" s="6"/>
      <c r="C200" s="43"/>
      <c r="D200" s="43"/>
      <c r="E200" s="44"/>
      <c r="F200" s="42"/>
      <c r="G200" s="34"/>
      <c r="H200" s="35">
        <f t="shared" si="8"/>
        <v>0</v>
      </c>
    </row>
  </sheetData>
  <mergeCells count="6">
    <mergeCell ref="A10:B10"/>
    <mergeCell ref="A1:H1"/>
    <mergeCell ref="G4:H4"/>
    <mergeCell ref="B2:C2"/>
    <mergeCell ref="B3:C3"/>
    <mergeCell ref="A7:B7"/>
  </mergeCells>
  <dataValidations xWindow="827" yWindow="629" count="11">
    <dataValidation allowBlank="1" showInputMessage="1" showErrorMessage="1" prompt="Amount is automatically calculated in this column. Enter Sales Tax Rate below the table. Subtotal, Sales Tax amount, Deposit Received &amp; Invoice Total are at end of this column" sqref="H13" xr:uid="{00000000-0002-0000-0000-000000000000}"/>
    <dataValidation allowBlank="1" showInputMessage="1" showErrorMessage="1" prompt="Enter Price in this column under this heading" sqref="F13" xr:uid="{00000000-0002-0000-0000-000001000000}"/>
    <dataValidation allowBlank="1" showInputMessage="1" showErrorMessage="1" prompt="Enter Description in this column under this heading. Total items are at the end of this table column" sqref="D13:E13" xr:uid="{00000000-0002-0000-0000-000002000000}"/>
    <dataValidation allowBlank="1" showInputMessage="1" showErrorMessage="1" prompt="Enter Quantity in this column under this heading" sqref="G13 E13" xr:uid="{00000000-0002-0000-0000-000003000000}"/>
    <dataValidation allowBlank="1" showInputMessage="1" showErrorMessage="1" promptTitle="Warning" prompt="Final date" sqref="C4" xr:uid="{00000000-0002-0000-0000-000004000000}"/>
    <dataValidation allowBlank="1" showInputMessage="1" showErrorMessage="1" promptTitle="Warning" prompt="Date" sqref="A14:A200" xr:uid="{00000000-0002-0000-0000-000005000000}"/>
    <dataValidation allowBlank="1" showInputMessage="1" showErrorMessage="1" prompt="Enter Item Number in this column under this heading" sqref="B13:C13" xr:uid="{00000000-0002-0000-0000-000006000000}"/>
    <dataValidation type="date" allowBlank="1" showInputMessage="1" showErrorMessage="1" promptTitle="Warning" prompt="Start date" sqref="B4" xr:uid="{00000000-0002-0000-0000-000007000000}">
      <formula1>36800</formula1>
      <formula2>51500</formula2>
    </dataValidation>
    <dataValidation type="decimal" errorStyle="warning" operator="greaterThanOrEqual" allowBlank="1" showInputMessage="1" showErrorMessage="1" error="Enter Quantity greater than or equal to 0. Press CANCEL and enter the value" sqref="G14:G200" xr:uid="{00000000-0002-0000-0000-000008000000}">
      <formula1>0</formula1>
    </dataValidation>
    <dataValidation type="decimal" errorStyle="warning" operator="greaterThan" allowBlank="1" showInputMessage="1" showErrorMessage="1" error="Enter a Price greater than or equal to 0. Press CANCEL and enter the value" sqref="F14:F200" xr:uid="{00000000-0002-0000-0000-000009000000}">
      <formula1>0</formula1>
    </dataValidation>
    <dataValidation type="custom" allowBlank="1" showInputMessage="1" showErrorMessage="1" errorTitle="DUPLICATE VALUE" error="The ticket number has already been entered." sqref="B14:B200" xr:uid="{00000000-0002-0000-0000-00000A000000}">
      <formula1>COUNTIF(B:B, B14) = 1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xWindow="827" yWindow="629" count="2">
        <x14:dataValidation type="list" allowBlank="1" xr:uid="{00000000-0002-0000-0000-00000B000000}">
          <x14:formula1>
            <xm:f>Sheet2!$F$1:$F$22</xm:f>
          </x14:formula1>
          <xm:sqref>C14:C200</xm:sqref>
        </x14:dataValidation>
        <x14:dataValidation type="list" allowBlank="1" xr:uid="{00000000-0002-0000-0000-00000C000000}">
          <x14:formula1>
            <xm:f>INDIRECTO(BUSCARH(C14,Sheet2!$G$1:$AB$16,2))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23"/>
  <sheetViews>
    <sheetView tabSelected="1" workbookViewId="0">
      <selection activeCell="G18" sqref="G18"/>
    </sheetView>
  </sheetViews>
  <sheetFormatPr baseColWidth="10" defaultColWidth="9" defaultRowHeight="15.75" x14ac:dyDescent="0.25"/>
  <cols>
    <col min="1" max="1" width="25.625" bestFit="1" customWidth="1"/>
    <col min="2" max="2" width="37.375" bestFit="1" customWidth="1"/>
    <col min="4" max="4" width="32.25" bestFit="1" customWidth="1"/>
    <col min="6" max="6" width="33.25" bestFit="1" customWidth="1"/>
    <col min="7" max="7" width="11.25" customWidth="1"/>
  </cols>
  <sheetData>
    <row r="1" spans="1:28" x14ac:dyDescent="0.25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20</v>
      </c>
      <c r="G1" t="s">
        <v>20</v>
      </c>
      <c r="H1" t="s">
        <v>40</v>
      </c>
      <c r="I1" t="s">
        <v>44</v>
      </c>
      <c r="J1" t="s">
        <v>47</v>
      </c>
      <c r="K1" t="s">
        <v>62</v>
      </c>
      <c r="L1" t="s">
        <v>86</v>
      </c>
      <c r="M1" t="s">
        <v>105</v>
      </c>
      <c r="N1" t="s">
        <v>118</v>
      </c>
      <c r="O1" t="s">
        <v>126</v>
      </c>
      <c r="P1" t="s">
        <v>129</v>
      </c>
      <c r="Q1" t="s">
        <v>134</v>
      </c>
      <c r="R1" t="s">
        <v>145</v>
      </c>
      <c r="S1" t="s">
        <v>158</v>
      </c>
      <c r="T1" t="s">
        <v>171</v>
      </c>
      <c r="U1" t="s">
        <v>175</v>
      </c>
      <c r="V1" t="s">
        <v>182</v>
      </c>
      <c r="W1" t="s">
        <v>195</v>
      </c>
      <c r="X1" t="s">
        <v>198</v>
      </c>
      <c r="Y1" t="s">
        <v>214</v>
      </c>
      <c r="Z1" t="s">
        <v>218</v>
      </c>
      <c r="AA1" t="s">
        <v>275</v>
      </c>
      <c r="AB1" t="s">
        <v>279</v>
      </c>
    </row>
    <row r="2" spans="1:28" x14ac:dyDescent="0.25">
      <c r="A2" t="s">
        <v>24</v>
      </c>
      <c r="B2" t="s">
        <v>20</v>
      </c>
      <c r="C2" t="s">
        <v>25</v>
      </c>
      <c r="D2" t="s">
        <v>22</v>
      </c>
      <c r="E2" t="s">
        <v>26</v>
      </c>
      <c r="F2" t="s">
        <v>40</v>
      </c>
      <c r="G2" t="s">
        <v>315</v>
      </c>
      <c r="H2" t="s">
        <v>292</v>
      </c>
      <c r="I2" t="s">
        <v>293</v>
      </c>
      <c r="J2" t="s">
        <v>294</v>
      </c>
      <c r="K2" t="s">
        <v>295</v>
      </c>
      <c r="L2" t="s">
        <v>297</v>
      </c>
      <c r="M2" t="s">
        <v>298</v>
      </c>
      <c r="N2" t="s">
        <v>299</v>
      </c>
      <c r="O2" t="s">
        <v>300</v>
      </c>
      <c r="P2" t="s">
        <v>301</v>
      </c>
      <c r="Q2" t="s">
        <v>302</v>
      </c>
      <c r="R2" t="s">
        <v>303</v>
      </c>
      <c r="S2" t="s">
        <v>304</v>
      </c>
      <c r="T2" t="s">
        <v>305</v>
      </c>
      <c r="U2" t="s">
        <v>306</v>
      </c>
      <c r="V2" t="s">
        <v>307</v>
      </c>
      <c r="W2" t="s">
        <v>308</v>
      </c>
      <c r="X2" t="s">
        <v>309</v>
      </c>
      <c r="Y2" t="s">
        <v>310</v>
      </c>
      <c r="Z2" t="s">
        <v>311</v>
      </c>
      <c r="AA2" t="s">
        <v>312</v>
      </c>
      <c r="AB2" t="s">
        <v>313</v>
      </c>
    </row>
    <row r="3" spans="1:28" x14ac:dyDescent="0.25">
      <c r="A3" t="s">
        <v>27</v>
      </c>
      <c r="B3" t="s">
        <v>20</v>
      </c>
      <c r="C3" t="s">
        <v>28</v>
      </c>
      <c r="D3" t="s">
        <v>22</v>
      </c>
      <c r="E3" t="s">
        <v>29</v>
      </c>
      <c r="F3" t="s">
        <v>44</v>
      </c>
      <c r="G3" t="s">
        <v>315</v>
      </c>
      <c r="H3" t="s">
        <v>41</v>
      </c>
      <c r="I3" t="s">
        <v>41</v>
      </c>
      <c r="J3" t="s">
        <v>34</v>
      </c>
      <c r="K3" t="s">
        <v>21</v>
      </c>
      <c r="L3" t="s">
        <v>21</v>
      </c>
      <c r="M3" t="s">
        <v>21</v>
      </c>
      <c r="N3" t="s">
        <v>28</v>
      </c>
      <c r="O3" t="s">
        <v>41</v>
      </c>
      <c r="P3" t="s">
        <v>34</v>
      </c>
      <c r="Q3" t="s">
        <v>28</v>
      </c>
      <c r="R3" t="s">
        <v>28</v>
      </c>
      <c r="S3" t="s">
        <v>28</v>
      </c>
      <c r="T3" t="s">
        <v>296</v>
      </c>
      <c r="U3" t="s">
        <v>296</v>
      </c>
      <c r="V3" t="s">
        <v>100</v>
      </c>
      <c r="W3" t="s">
        <v>41</v>
      </c>
      <c r="X3" t="s">
        <v>21</v>
      </c>
      <c r="Y3" t="s">
        <v>34</v>
      </c>
      <c r="Z3" t="s">
        <v>21</v>
      </c>
      <c r="AA3" t="s">
        <v>34</v>
      </c>
      <c r="AB3" t="s">
        <v>37</v>
      </c>
    </row>
    <row r="4" spans="1:28" x14ac:dyDescent="0.25">
      <c r="A4" t="s">
        <v>30</v>
      </c>
      <c r="B4" t="s">
        <v>20</v>
      </c>
      <c r="C4" t="s">
        <v>31</v>
      </c>
      <c r="D4" t="s">
        <v>22</v>
      </c>
      <c r="E4" t="s">
        <v>32</v>
      </c>
      <c r="F4" t="s">
        <v>47</v>
      </c>
      <c r="G4" t="s">
        <v>21</v>
      </c>
      <c r="H4" t="s">
        <v>100</v>
      </c>
      <c r="J4" t="s">
        <v>28</v>
      </c>
      <c r="K4" t="s">
        <v>25</v>
      </c>
      <c r="L4" t="s">
        <v>37</v>
      </c>
      <c r="M4" t="s">
        <v>25</v>
      </c>
      <c r="N4" t="s">
        <v>37</v>
      </c>
      <c r="O4" t="s">
        <v>100</v>
      </c>
      <c r="P4" t="s">
        <v>21</v>
      </c>
      <c r="Q4" t="s">
        <v>37</v>
      </c>
      <c r="R4" t="s">
        <v>34</v>
      </c>
      <c r="S4" t="s">
        <v>37</v>
      </c>
      <c r="W4" t="s">
        <v>100</v>
      </c>
      <c r="X4" t="s">
        <v>25</v>
      </c>
      <c r="Y4" t="s">
        <v>31</v>
      </c>
    </row>
    <row r="5" spans="1:28" x14ac:dyDescent="0.25">
      <c r="A5" t="s">
        <v>33</v>
      </c>
      <c r="B5" t="s">
        <v>20</v>
      </c>
      <c r="C5" t="s">
        <v>34</v>
      </c>
      <c r="D5" t="s">
        <v>22</v>
      </c>
      <c r="E5" t="s">
        <v>35</v>
      </c>
      <c r="F5" t="s">
        <v>62</v>
      </c>
      <c r="G5" t="s">
        <v>25</v>
      </c>
      <c r="H5" t="s">
        <v>21</v>
      </c>
      <c r="J5" t="s">
        <v>37</v>
      </c>
      <c r="K5" t="s">
        <v>28</v>
      </c>
      <c r="L5" t="s">
        <v>25</v>
      </c>
      <c r="M5" t="s">
        <v>31</v>
      </c>
      <c r="N5" t="s">
        <v>25</v>
      </c>
      <c r="P5" t="s">
        <v>100</v>
      </c>
      <c r="Q5" t="s">
        <v>34</v>
      </c>
      <c r="R5" t="s">
        <v>37</v>
      </c>
      <c r="S5" t="s">
        <v>34</v>
      </c>
      <c r="X5" t="s">
        <v>28</v>
      </c>
      <c r="Y5" t="s">
        <v>25</v>
      </c>
    </row>
    <row r="6" spans="1:28" x14ac:dyDescent="0.25">
      <c r="A6" t="s">
        <v>36</v>
      </c>
      <c r="B6" t="s">
        <v>20</v>
      </c>
      <c r="C6" t="s">
        <v>37</v>
      </c>
      <c r="D6" t="s">
        <v>22</v>
      </c>
      <c r="E6" t="s">
        <v>38</v>
      </c>
      <c r="F6" t="s">
        <v>86</v>
      </c>
      <c r="G6" t="s">
        <v>28</v>
      </c>
      <c r="J6" t="s">
        <v>25</v>
      </c>
      <c r="K6" t="s">
        <v>31</v>
      </c>
      <c r="L6" t="s">
        <v>28</v>
      </c>
      <c r="M6" t="s">
        <v>37</v>
      </c>
      <c r="N6" t="s">
        <v>34</v>
      </c>
      <c r="P6" t="s">
        <v>25</v>
      </c>
      <c r="Q6" t="s">
        <v>25</v>
      </c>
      <c r="R6" t="s">
        <v>25</v>
      </c>
      <c r="S6" t="s">
        <v>25</v>
      </c>
      <c r="X6" t="s">
        <v>31</v>
      </c>
    </row>
    <row r="7" spans="1:28" x14ac:dyDescent="0.25">
      <c r="A7" t="s">
        <v>39</v>
      </c>
      <c r="B7" t="s">
        <v>40</v>
      </c>
      <c r="C7" t="s">
        <v>41</v>
      </c>
      <c r="D7" t="s">
        <v>22</v>
      </c>
      <c r="E7" t="s">
        <v>42</v>
      </c>
      <c r="F7" t="s">
        <v>105</v>
      </c>
      <c r="G7" t="s">
        <v>31</v>
      </c>
      <c r="J7" t="s">
        <v>31</v>
      </c>
      <c r="K7" t="s">
        <v>34</v>
      </c>
      <c r="L7" t="s">
        <v>41</v>
      </c>
      <c r="M7" t="s">
        <v>34</v>
      </c>
      <c r="N7" t="s">
        <v>21</v>
      </c>
      <c r="P7" t="s">
        <v>28</v>
      </c>
      <c r="Q7" t="s">
        <v>21</v>
      </c>
      <c r="R7" t="s">
        <v>31</v>
      </c>
      <c r="S7" t="s">
        <v>21</v>
      </c>
      <c r="X7" t="s">
        <v>34</v>
      </c>
    </row>
    <row r="8" spans="1:28" x14ac:dyDescent="0.25">
      <c r="A8" t="s">
        <v>43</v>
      </c>
      <c r="B8" t="s">
        <v>44</v>
      </c>
      <c r="C8" t="s">
        <v>41</v>
      </c>
      <c r="D8" t="s">
        <v>22</v>
      </c>
      <c r="E8" t="s">
        <v>45</v>
      </c>
      <c r="F8" t="s">
        <v>118</v>
      </c>
      <c r="G8" t="s">
        <v>34</v>
      </c>
      <c r="J8" t="s">
        <v>21</v>
      </c>
      <c r="K8" t="s">
        <v>37</v>
      </c>
      <c r="L8" t="s">
        <v>31</v>
      </c>
      <c r="M8" t="s">
        <v>28</v>
      </c>
      <c r="N8" t="s">
        <v>31</v>
      </c>
      <c r="P8" t="s">
        <v>31</v>
      </c>
      <c r="Q8" t="s">
        <v>100</v>
      </c>
      <c r="R8" t="s">
        <v>21</v>
      </c>
      <c r="S8" t="s">
        <v>31</v>
      </c>
      <c r="X8" t="s">
        <v>37</v>
      </c>
    </row>
    <row r="9" spans="1:28" x14ac:dyDescent="0.25">
      <c r="A9" t="s">
        <v>46</v>
      </c>
      <c r="B9" t="s">
        <v>47</v>
      </c>
      <c r="C9" t="s">
        <v>34</v>
      </c>
      <c r="D9" t="s">
        <v>22</v>
      </c>
      <c r="E9" t="s">
        <v>48</v>
      </c>
      <c r="F9" t="s">
        <v>126</v>
      </c>
      <c r="G9" t="s">
        <v>37</v>
      </c>
      <c r="J9" t="s">
        <v>41</v>
      </c>
      <c r="K9" t="s">
        <v>41</v>
      </c>
      <c r="L9" t="s">
        <v>100</v>
      </c>
      <c r="M9" t="s">
        <v>244</v>
      </c>
      <c r="N9" t="s">
        <v>41</v>
      </c>
      <c r="P9" t="s">
        <v>37</v>
      </c>
      <c r="R9" t="s">
        <v>100</v>
      </c>
      <c r="S9" t="s">
        <v>100</v>
      </c>
      <c r="X9" t="s">
        <v>41</v>
      </c>
    </row>
    <row r="10" spans="1:28" x14ac:dyDescent="0.25">
      <c r="A10" t="s">
        <v>49</v>
      </c>
      <c r="B10" t="s">
        <v>47</v>
      </c>
      <c r="C10" t="s">
        <v>28</v>
      </c>
      <c r="D10" t="s">
        <v>22</v>
      </c>
      <c r="E10" t="s">
        <v>50</v>
      </c>
      <c r="F10" t="s">
        <v>129</v>
      </c>
      <c r="G10" t="s">
        <v>41</v>
      </c>
      <c r="J10" t="s">
        <v>100</v>
      </c>
      <c r="K10" t="s">
        <v>100</v>
      </c>
      <c r="L10" t="s">
        <v>34</v>
      </c>
      <c r="M10" t="s">
        <v>100</v>
      </c>
      <c r="N10" t="s">
        <v>100</v>
      </c>
      <c r="P10" t="s">
        <v>41</v>
      </c>
      <c r="S10" t="s">
        <v>234</v>
      </c>
      <c r="X10" t="s">
        <v>100</v>
      </c>
    </row>
    <row r="11" spans="1:28" x14ac:dyDescent="0.25">
      <c r="A11" t="s">
        <v>51</v>
      </c>
      <c r="B11" t="s">
        <v>47</v>
      </c>
      <c r="C11" t="s">
        <v>37</v>
      </c>
      <c r="D11" t="s">
        <v>22</v>
      </c>
      <c r="E11" t="s">
        <v>52</v>
      </c>
      <c r="F11" t="s">
        <v>134</v>
      </c>
      <c r="G11" t="s">
        <v>100</v>
      </c>
      <c r="K11" t="s">
        <v>222</v>
      </c>
      <c r="S11" t="s">
        <v>238</v>
      </c>
    </row>
    <row r="12" spans="1:28" x14ac:dyDescent="0.25">
      <c r="A12" t="s">
        <v>53</v>
      </c>
      <c r="B12" t="s">
        <v>47</v>
      </c>
      <c r="C12" t="s">
        <v>25</v>
      </c>
      <c r="D12" t="s">
        <v>22</v>
      </c>
      <c r="E12" t="s">
        <v>54</v>
      </c>
      <c r="F12" t="s">
        <v>145</v>
      </c>
      <c r="K12" t="s">
        <v>226</v>
      </c>
      <c r="S12" t="s">
        <v>241</v>
      </c>
    </row>
    <row r="13" spans="1:28" x14ac:dyDescent="0.25">
      <c r="A13" t="s">
        <v>55</v>
      </c>
      <c r="B13" t="s">
        <v>47</v>
      </c>
      <c r="C13" t="s">
        <v>31</v>
      </c>
      <c r="D13" t="s">
        <v>22</v>
      </c>
      <c r="E13" t="s">
        <v>56</v>
      </c>
      <c r="F13" t="s">
        <v>158</v>
      </c>
      <c r="K13" t="s">
        <v>229</v>
      </c>
      <c r="S13" t="s">
        <v>270</v>
      </c>
    </row>
    <row r="14" spans="1:28" x14ac:dyDescent="0.25">
      <c r="A14" t="s">
        <v>57</v>
      </c>
      <c r="B14" t="s">
        <v>47</v>
      </c>
      <c r="C14" t="s">
        <v>21</v>
      </c>
      <c r="D14" t="s">
        <v>22</v>
      </c>
      <c r="E14" t="s">
        <v>58</v>
      </c>
      <c r="F14" t="s">
        <v>171</v>
      </c>
      <c r="K14" t="s">
        <v>296</v>
      </c>
      <c r="S14" t="s">
        <v>273</v>
      </c>
    </row>
    <row r="15" spans="1:28" x14ac:dyDescent="0.25">
      <c r="A15" t="s">
        <v>59</v>
      </c>
      <c r="B15" t="s">
        <v>47</v>
      </c>
      <c r="C15" t="s">
        <v>41</v>
      </c>
      <c r="D15" t="s">
        <v>22</v>
      </c>
      <c r="E15" t="s">
        <v>60</v>
      </c>
      <c r="F15" t="s">
        <v>175</v>
      </c>
      <c r="S15" t="s">
        <v>281</v>
      </c>
    </row>
    <row r="16" spans="1:28" x14ac:dyDescent="0.25">
      <c r="A16" t="s">
        <v>61</v>
      </c>
      <c r="B16" t="s">
        <v>62</v>
      </c>
      <c r="C16" t="s">
        <v>21</v>
      </c>
      <c r="D16" t="s">
        <v>63</v>
      </c>
      <c r="E16" t="s">
        <v>64</v>
      </c>
      <c r="F16" t="s">
        <v>182</v>
      </c>
      <c r="S16" t="s">
        <v>284</v>
      </c>
    </row>
    <row r="17" spans="1:19" x14ac:dyDescent="0.25">
      <c r="A17" t="s">
        <v>65</v>
      </c>
      <c r="B17" t="s">
        <v>62</v>
      </c>
      <c r="C17" t="s">
        <v>21</v>
      </c>
      <c r="D17" t="s">
        <v>66</v>
      </c>
      <c r="E17" t="s">
        <v>64</v>
      </c>
      <c r="F17" t="s">
        <v>195</v>
      </c>
      <c r="S17" t="s">
        <v>287</v>
      </c>
    </row>
    <row r="18" spans="1:19" x14ac:dyDescent="0.25">
      <c r="A18" t="s">
        <v>67</v>
      </c>
      <c r="B18" t="s">
        <v>62</v>
      </c>
      <c r="C18" t="s">
        <v>25</v>
      </c>
      <c r="D18" t="s">
        <v>63</v>
      </c>
      <c r="E18" t="s">
        <v>68</v>
      </c>
      <c r="F18" t="s">
        <v>198</v>
      </c>
    </row>
    <row r="19" spans="1:19" x14ac:dyDescent="0.25">
      <c r="A19" t="s">
        <v>69</v>
      </c>
      <c r="B19" t="s">
        <v>62</v>
      </c>
      <c r="C19" t="s">
        <v>25</v>
      </c>
      <c r="D19" t="s">
        <v>66</v>
      </c>
      <c r="E19" t="s">
        <v>68</v>
      </c>
      <c r="F19" t="s">
        <v>214</v>
      </c>
    </row>
    <row r="20" spans="1:19" x14ac:dyDescent="0.25">
      <c r="A20" t="s">
        <v>70</v>
      </c>
      <c r="B20" t="s">
        <v>62</v>
      </c>
      <c r="C20" t="s">
        <v>28</v>
      </c>
      <c r="D20" t="s">
        <v>63</v>
      </c>
      <c r="E20" t="s">
        <v>71</v>
      </c>
      <c r="F20" t="s">
        <v>218</v>
      </c>
    </row>
    <row r="21" spans="1:19" x14ac:dyDescent="0.25">
      <c r="A21" t="s">
        <v>72</v>
      </c>
      <c r="B21" t="s">
        <v>62</v>
      </c>
      <c r="C21" t="s">
        <v>28</v>
      </c>
      <c r="D21" t="s">
        <v>66</v>
      </c>
      <c r="E21" t="s">
        <v>71</v>
      </c>
      <c r="F21" t="s">
        <v>275</v>
      </c>
    </row>
    <row r="22" spans="1:19" x14ac:dyDescent="0.25">
      <c r="A22" t="s">
        <v>73</v>
      </c>
      <c r="B22" t="s">
        <v>62</v>
      </c>
      <c r="C22" t="s">
        <v>31</v>
      </c>
      <c r="D22" t="s">
        <v>63</v>
      </c>
      <c r="E22" t="s">
        <v>74</v>
      </c>
      <c r="F22" t="s">
        <v>279</v>
      </c>
    </row>
    <row r="23" spans="1:19" x14ac:dyDescent="0.25">
      <c r="A23" t="s">
        <v>75</v>
      </c>
      <c r="B23" t="s">
        <v>62</v>
      </c>
      <c r="C23" t="s">
        <v>31</v>
      </c>
      <c r="D23" t="s">
        <v>66</v>
      </c>
      <c r="E23" t="s">
        <v>74</v>
      </c>
    </row>
    <row r="24" spans="1:19" x14ac:dyDescent="0.25">
      <c r="A24" t="s">
        <v>76</v>
      </c>
      <c r="B24" t="s">
        <v>62</v>
      </c>
      <c r="C24" t="s">
        <v>34</v>
      </c>
      <c r="D24" t="s">
        <v>63</v>
      </c>
      <c r="E24" t="s">
        <v>77</v>
      </c>
    </row>
    <row r="25" spans="1:19" x14ac:dyDescent="0.25">
      <c r="A25" t="s">
        <v>78</v>
      </c>
      <c r="B25" t="s">
        <v>62</v>
      </c>
      <c r="C25" t="s">
        <v>34</v>
      </c>
      <c r="D25" t="s">
        <v>66</v>
      </c>
      <c r="E25" t="s">
        <v>77</v>
      </c>
    </row>
    <row r="26" spans="1:19" x14ac:dyDescent="0.25">
      <c r="A26" t="s">
        <v>79</v>
      </c>
      <c r="B26" t="s">
        <v>62</v>
      </c>
      <c r="C26" t="s">
        <v>37</v>
      </c>
      <c r="D26" t="s">
        <v>63</v>
      </c>
      <c r="E26" t="s">
        <v>80</v>
      </c>
    </row>
    <row r="27" spans="1:19" x14ac:dyDescent="0.25">
      <c r="A27" t="s">
        <v>81</v>
      </c>
      <c r="B27" t="s">
        <v>62</v>
      </c>
      <c r="C27" t="s">
        <v>37</v>
      </c>
      <c r="D27" t="s">
        <v>66</v>
      </c>
      <c r="E27" t="s">
        <v>80</v>
      </c>
    </row>
    <row r="28" spans="1:19" x14ac:dyDescent="0.25">
      <c r="A28" t="s">
        <v>82</v>
      </c>
      <c r="B28" t="s">
        <v>62</v>
      </c>
      <c r="C28" t="s">
        <v>41</v>
      </c>
      <c r="D28" t="s">
        <v>63</v>
      </c>
      <c r="E28" t="s">
        <v>83</v>
      </c>
    </row>
    <row r="29" spans="1:19" x14ac:dyDescent="0.25">
      <c r="A29" t="s">
        <v>84</v>
      </c>
      <c r="B29" t="s">
        <v>62</v>
      </c>
      <c r="C29" t="s">
        <v>41</v>
      </c>
      <c r="D29" t="s">
        <v>66</v>
      </c>
      <c r="E29" t="s">
        <v>83</v>
      </c>
    </row>
    <row r="30" spans="1:19" x14ac:dyDescent="0.25">
      <c r="A30" t="s">
        <v>85</v>
      </c>
      <c r="B30" t="s">
        <v>86</v>
      </c>
      <c r="C30" t="s">
        <v>21</v>
      </c>
      <c r="D30" t="s">
        <v>87</v>
      </c>
      <c r="E30" t="s">
        <v>88</v>
      </c>
    </row>
    <row r="31" spans="1:19" x14ac:dyDescent="0.25">
      <c r="A31" t="s">
        <v>89</v>
      </c>
      <c r="B31" t="s">
        <v>86</v>
      </c>
      <c r="C31" t="s">
        <v>37</v>
      </c>
      <c r="D31" t="s">
        <v>87</v>
      </c>
      <c r="E31" t="s">
        <v>90</v>
      </c>
    </row>
    <row r="32" spans="1:19" x14ac:dyDescent="0.25">
      <c r="A32" t="s">
        <v>91</v>
      </c>
      <c r="B32" t="s">
        <v>86</v>
      </c>
      <c r="C32" t="s">
        <v>25</v>
      </c>
      <c r="D32" t="s">
        <v>87</v>
      </c>
      <c r="E32" t="s">
        <v>92</v>
      </c>
    </row>
    <row r="33" spans="1:5" x14ac:dyDescent="0.25">
      <c r="A33" t="s">
        <v>93</v>
      </c>
      <c r="B33" t="s">
        <v>86</v>
      </c>
      <c r="C33" t="s">
        <v>28</v>
      </c>
      <c r="D33" t="s">
        <v>87</v>
      </c>
      <c r="E33" t="s">
        <v>94</v>
      </c>
    </row>
    <row r="34" spans="1:5" x14ac:dyDescent="0.25">
      <c r="A34" t="s">
        <v>95</v>
      </c>
      <c r="B34" t="s">
        <v>86</v>
      </c>
      <c r="C34" t="s">
        <v>41</v>
      </c>
      <c r="D34" t="s">
        <v>87</v>
      </c>
      <c r="E34" t="s">
        <v>96</v>
      </c>
    </row>
    <row r="35" spans="1:5" x14ac:dyDescent="0.25">
      <c r="A35" t="s">
        <v>97</v>
      </c>
      <c r="B35" t="s">
        <v>86</v>
      </c>
      <c r="C35" t="s">
        <v>31</v>
      </c>
      <c r="D35" t="s">
        <v>87</v>
      </c>
      <c r="E35" t="s">
        <v>98</v>
      </c>
    </row>
    <row r="36" spans="1:5" x14ac:dyDescent="0.25">
      <c r="A36" t="s">
        <v>99</v>
      </c>
      <c r="B36" t="s">
        <v>86</v>
      </c>
      <c r="C36" t="s">
        <v>100</v>
      </c>
      <c r="D36" t="s">
        <v>87</v>
      </c>
      <c r="E36" t="s">
        <v>101</v>
      </c>
    </row>
    <row r="37" spans="1:5" x14ac:dyDescent="0.25">
      <c r="A37" t="s">
        <v>102</v>
      </c>
      <c r="B37" t="s">
        <v>86</v>
      </c>
      <c r="C37" t="s">
        <v>34</v>
      </c>
      <c r="D37" t="s">
        <v>87</v>
      </c>
      <c r="E37" t="s">
        <v>103</v>
      </c>
    </row>
    <row r="38" spans="1:5" x14ac:dyDescent="0.25">
      <c r="A38" t="s">
        <v>104</v>
      </c>
      <c r="B38" t="s">
        <v>105</v>
      </c>
      <c r="C38" t="s">
        <v>21</v>
      </c>
      <c r="D38" t="s">
        <v>22</v>
      </c>
      <c r="E38" t="s">
        <v>106</v>
      </c>
    </row>
    <row r="39" spans="1:5" x14ac:dyDescent="0.25">
      <c r="A39" t="s">
        <v>107</v>
      </c>
      <c r="B39" t="s">
        <v>105</v>
      </c>
      <c r="C39" t="s">
        <v>25</v>
      </c>
      <c r="D39" t="s">
        <v>22</v>
      </c>
      <c r="E39" t="s">
        <v>108</v>
      </c>
    </row>
    <row r="40" spans="1:5" x14ac:dyDescent="0.25">
      <c r="A40" t="s">
        <v>109</v>
      </c>
      <c r="B40" t="s">
        <v>105</v>
      </c>
      <c r="C40" t="s">
        <v>31</v>
      </c>
      <c r="D40" t="s">
        <v>22</v>
      </c>
      <c r="E40" t="s">
        <v>110</v>
      </c>
    </row>
    <row r="41" spans="1:5" x14ac:dyDescent="0.25">
      <c r="A41" t="s">
        <v>111</v>
      </c>
      <c r="B41" t="s">
        <v>105</v>
      </c>
      <c r="C41" t="s">
        <v>37</v>
      </c>
      <c r="D41" t="s">
        <v>22</v>
      </c>
      <c r="E41" t="s">
        <v>112</v>
      </c>
    </row>
    <row r="42" spans="1:5" x14ac:dyDescent="0.25">
      <c r="A42" t="s">
        <v>113</v>
      </c>
      <c r="B42" t="s">
        <v>105</v>
      </c>
      <c r="C42" t="s">
        <v>34</v>
      </c>
      <c r="D42" t="s">
        <v>22</v>
      </c>
      <c r="E42" t="s">
        <v>114</v>
      </c>
    </row>
    <row r="43" spans="1:5" x14ac:dyDescent="0.25">
      <c r="A43" t="s">
        <v>115</v>
      </c>
      <c r="B43" t="s">
        <v>105</v>
      </c>
      <c r="C43" t="s">
        <v>28</v>
      </c>
      <c r="D43" t="s">
        <v>22</v>
      </c>
      <c r="E43" t="s">
        <v>116</v>
      </c>
    </row>
    <row r="44" spans="1:5" x14ac:dyDescent="0.25">
      <c r="A44" t="s">
        <v>117</v>
      </c>
      <c r="B44" t="s">
        <v>118</v>
      </c>
      <c r="C44" t="s">
        <v>28</v>
      </c>
      <c r="D44" t="s">
        <v>66</v>
      </c>
      <c r="E44" t="s">
        <v>42</v>
      </c>
    </row>
    <row r="45" spans="1:5" x14ac:dyDescent="0.25">
      <c r="A45" t="s">
        <v>119</v>
      </c>
      <c r="B45" t="s">
        <v>118</v>
      </c>
      <c r="C45" t="s">
        <v>37</v>
      </c>
      <c r="D45" t="s">
        <v>66</v>
      </c>
      <c r="E45" t="s">
        <v>120</v>
      </c>
    </row>
    <row r="46" spans="1:5" x14ac:dyDescent="0.25">
      <c r="A46" t="s">
        <v>121</v>
      </c>
      <c r="B46" t="s">
        <v>118</v>
      </c>
      <c r="C46" t="s">
        <v>25</v>
      </c>
      <c r="D46" t="s">
        <v>66</v>
      </c>
      <c r="E46" t="s">
        <v>122</v>
      </c>
    </row>
    <row r="47" spans="1:5" x14ac:dyDescent="0.25">
      <c r="A47" t="s">
        <v>123</v>
      </c>
      <c r="B47" t="s">
        <v>118</v>
      </c>
      <c r="C47" t="s">
        <v>34</v>
      </c>
      <c r="D47" t="s">
        <v>66</v>
      </c>
      <c r="E47" t="s">
        <v>124</v>
      </c>
    </row>
    <row r="48" spans="1:5" x14ac:dyDescent="0.25">
      <c r="A48" t="s">
        <v>125</v>
      </c>
      <c r="B48" t="s">
        <v>126</v>
      </c>
      <c r="C48" t="s">
        <v>41</v>
      </c>
      <c r="D48" t="s">
        <v>66</v>
      </c>
      <c r="E48" t="s">
        <v>127</v>
      </c>
    </row>
    <row r="49" spans="1:5" x14ac:dyDescent="0.25">
      <c r="A49" t="s">
        <v>128</v>
      </c>
      <c r="B49" t="s">
        <v>129</v>
      </c>
      <c r="C49" t="s">
        <v>34</v>
      </c>
      <c r="D49" t="s">
        <v>66</v>
      </c>
      <c r="E49" t="s">
        <v>130</v>
      </c>
    </row>
    <row r="50" spans="1:5" x14ac:dyDescent="0.25">
      <c r="A50" t="s">
        <v>131</v>
      </c>
      <c r="B50" t="s">
        <v>129</v>
      </c>
      <c r="C50" t="s">
        <v>21</v>
      </c>
      <c r="D50" t="s">
        <v>66</v>
      </c>
      <c r="E50" t="s">
        <v>132</v>
      </c>
    </row>
    <row r="51" spans="1:5" x14ac:dyDescent="0.25">
      <c r="A51" t="s">
        <v>133</v>
      </c>
      <c r="B51" t="s">
        <v>134</v>
      </c>
      <c r="C51" t="s">
        <v>28</v>
      </c>
      <c r="D51" t="s">
        <v>22</v>
      </c>
      <c r="E51" t="s">
        <v>135</v>
      </c>
    </row>
    <row r="52" spans="1:5" x14ac:dyDescent="0.25">
      <c r="A52" t="s">
        <v>136</v>
      </c>
      <c r="B52" t="s">
        <v>134</v>
      </c>
      <c r="C52" t="s">
        <v>37</v>
      </c>
      <c r="D52" t="s">
        <v>22</v>
      </c>
      <c r="E52" t="s">
        <v>137</v>
      </c>
    </row>
    <row r="53" spans="1:5" x14ac:dyDescent="0.25">
      <c r="A53" t="s">
        <v>138</v>
      </c>
      <c r="B53" t="s">
        <v>134</v>
      </c>
      <c r="C53" t="s">
        <v>34</v>
      </c>
      <c r="D53" t="s">
        <v>22</v>
      </c>
      <c r="E53" t="s">
        <v>139</v>
      </c>
    </row>
    <row r="54" spans="1:5" x14ac:dyDescent="0.25">
      <c r="A54" t="s">
        <v>140</v>
      </c>
      <c r="B54" t="s">
        <v>134</v>
      </c>
      <c r="C54" t="s">
        <v>25</v>
      </c>
      <c r="D54" t="s">
        <v>22</v>
      </c>
      <c r="E54" t="s">
        <v>141</v>
      </c>
    </row>
    <row r="55" spans="1:5" x14ac:dyDescent="0.25">
      <c r="A55" t="s">
        <v>142</v>
      </c>
      <c r="B55" t="s">
        <v>134</v>
      </c>
      <c r="C55" t="s">
        <v>21</v>
      </c>
      <c r="D55" t="s">
        <v>22</v>
      </c>
      <c r="E55" t="s">
        <v>143</v>
      </c>
    </row>
    <row r="56" spans="1:5" x14ac:dyDescent="0.25">
      <c r="A56" t="s">
        <v>144</v>
      </c>
      <c r="B56" t="s">
        <v>145</v>
      </c>
      <c r="C56" t="s">
        <v>28</v>
      </c>
      <c r="D56" t="s">
        <v>22</v>
      </c>
      <c r="E56" t="s">
        <v>146</v>
      </c>
    </row>
    <row r="57" spans="1:5" x14ac:dyDescent="0.25">
      <c r="A57" t="s">
        <v>147</v>
      </c>
      <c r="B57" t="s">
        <v>145</v>
      </c>
      <c r="C57" t="s">
        <v>34</v>
      </c>
      <c r="D57" t="s">
        <v>22</v>
      </c>
      <c r="E57" t="s">
        <v>148</v>
      </c>
    </row>
    <row r="58" spans="1:5" x14ac:dyDescent="0.25">
      <c r="A58" t="s">
        <v>149</v>
      </c>
      <c r="B58" t="s">
        <v>145</v>
      </c>
      <c r="C58" t="s">
        <v>37</v>
      </c>
      <c r="D58" t="s">
        <v>22</v>
      </c>
      <c r="E58" t="s">
        <v>150</v>
      </c>
    </row>
    <row r="59" spans="1:5" x14ac:dyDescent="0.25">
      <c r="A59" t="s">
        <v>151</v>
      </c>
      <c r="B59" t="s">
        <v>145</v>
      </c>
      <c r="C59" t="s">
        <v>25</v>
      </c>
      <c r="D59" t="s">
        <v>22</v>
      </c>
      <c r="E59" t="s">
        <v>152</v>
      </c>
    </row>
    <row r="60" spans="1:5" x14ac:dyDescent="0.25">
      <c r="A60" t="s">
        <v>153</v>
      </c>
      <c r="B60" t="s">
        <v>145</v>
      </c>
      <c r="C60" t="s">
        <v>31</v>
      </c>
      <c r="D60" t="s">
        <v>22</v>
      </c>
      <c r="E60" t="s">
        <v>154</v>
      </c>
    </row>
    <row r="61" spans="1:5" x14ac:dyDescent="0.25">
      <c r="A61" t="s">
        <v>155</v>
      </c>
      <c r="B61" t="s">
        <v>145</v>
      </c>
      <c r="C61" t="s">
        <v>21</v>
      </c>
      <c r="D61" t="s">
        <v>22</v>
      </c>
      <c r="E61" t="s">
        <v>156</v>
      </c>
    </row>
    <row r="62" spans="1:5" x14ac:dyDescent="0.25">
      <c r="A62" t="s">
        <v>157</v>
      </c>
      <c r="B62" t="s">
        <v>158</v>
      </c>
      <c r="C62" t="s">
        <v>28</v>
      </c>
      <c r="D62" t="s">
        <v>22</v>
      </c>
      <c r="E62" t="s">
        <v>159</v>
      </c>
    </row>
    <row r="63" spans="1:5" x14ac:dyDescent="0.25">
      <c r="A63" t="s">
        <v>160</v>
      </c>
      <c r="B63" t="s">
        <v>158</v>
      </c>
      <c r="C63" t="s">
        <v>37</v>
      </c>
      <c r="D63" t="s">
        <v>22</v>
      </c>
      <c r="E63" t="s">
        <v>161</v>
      </c>
    </row>
    <row r="64" spans="1:5" x14ac:dyDescent="0.25">
      <c r="A64" t="s">
        <v>162</v>
      </c>
      <c r="B64" t="s">
        <v>158</v>
      </c>
      <c r="C64" t="s">
        <v>34</v>
      </c>
      <c r="D64" t="s">
        <v>22</v>
      </c>
      <c r="E64" t="s">
        <v>163</v>
      </c>
    </row>
    <row r="65" spans="1:5" x14ac:dyDescent="0.25">
      <c r="A65" t="s">
        <v>164</v>
      </c>
      <c r="B65" t="s">
        <v>158</v>
      </c>
      <c r="C65" t="s">
        <v>25</v>
      </c>
      <c r="D65" t="s">
        <v>22</v>
      </c>
      <c r="E65" t="s">
        <v>165</v>
      </c>
    </row>
    <row r="66" spans="1:5" x14ac:dyDescent="0.25">
      <c r="A66" t="s">
        <v>166</v>
      </c>
      <c r="B66" t="s">
        <v>158</v>
      </c>
      <c r="C66" t="s">
        <v>21</v>
      </c>
      <c r="D66" t="s">
        <v>22</v>
      </c>
      <c r="E66" t="s">
        <v>167</v>
      </c>
    </row>
    <row r="67" spans="1:5" x14ac:dyDescent="0.25">
      <c r="A67" t="s">
        <v>168</v>
      </c>
      <c r="B67" t="s">
        <v>158</v>
      </c>
      <c r="C67" t="s">
        <v>31</v>
      </c>
      <c r="D67" t="s">
        <v>22</v>
      </c>
      <c r="E67" t="s">
        <v>169</v>
      </c>
    </row>
    <row r="68" spans="1:5" x14ac:dyDescent="0.25">
      <c r="A68" t="s">
        <v>170</v>
      </c>
      <c r="B68" t="s">
        <v>171</v>
      </c>
      <c r="C68" t="s">
        <v>172</v>
      </c>
      <c r="D68" t="s">
        <v>63</v>
      </c>
      <c r="E68" t="s">
        <v>173</v>
      </c>
    </row>
    <row r="69" spans="1:5" x14ac:dyDescent="0.25">
      <c r="A69" t="s">
        <v>174</v>
      </c>
      <c r="B69" t="s">
        <v>175</v>
      </c>
      <c r="C69" t="s">
        <v>172</v>
      </c>
      <c r="D69" t="s">
        <v>63</v>
      </c>
      <c r="E69" t="s">
        <v>176</v>
      </c>
    </row>
    <row r="70" spans="1:5" x14ac:dyDescent="0.25">
      <c r="A70" t="s">
        <v>177</v>
      </c>
      <c r="B70" t="s">
        <v>40</v>
      </c>
      <c r="C70" t="s">
        <v>100</v>
      </c>
      <c r="D70" t="s">
        <v>22</v>
      </c>
      <c r="E70" t="s">
        <v>42</v>
      </c>
    </row>
    <row r="71" spans="1:5" x14ac:dyDescent="0.25">
      <c r="A71" t="s">
        <v>178</v>
      </c>
      <c r="B71" t="s">
        <v>62</v>
      </c>
      <c r="C71" t="s">
        <v>100</v>
      </c>
      <c r="D71" t="s">
        <v>63</v>
      </c>
      <c r="E71" t="s">
        <v>179</v>
      </c>
    </row>
    <row r="72" spans="1:5" x14ac:dyDescent="0.25">
      <c r="A72" t="s">
        <v>180</v>
      </c>
      <c r="B72" t="s">
        <v>62</v>
      </c>
      <c r="C72" t="s">
        <v>100</v>
      </c>
      <c r="D72" t="s">
        <v>66</v>
      </c>
      <c r="E72" t="s">
        <v>179</v>
      </c>
    </row>
    <row r="73" spans="1:5" x14ac:dyDescent="0.25">
      <c r="A73" t="s">
        <v>181</v>
      </c>
      <c r="B73" t="s">
        <v>182</v>
      </c>
      <c r="C73" t="s">
        <v>100</v>
      </c>
      <c r="D73" t="s">
        <v>87</v>
      </c>
      <c r="E73" t="s">
        <v>183</v>
      </c>
    </row>
    <row r="74" spans="1:5" x14ac:dyDescent="0.25">
      <c r="A74" t="s">
        <v>184</v>
      </c>
      <c r="B74" t="s">
        <v>126</v>
      </c>
      <c r="C74" t="s">
        <v>100</v>
      </c>
      <c r="D74" t="s">
        <v>66</v>
      </c>
      <c r="E74" t="s">
        <v>185</v>
      </c>
    </row>
    <row r="75" spans="1:5" x14ac:dyDescent="0.25">
      <c r="A75" t="s">
        <v>186</v>
      </c>
      <c r="B75" t="s">
        <v>158</v>
      </c>
      <c r="C75" t="s">
        <v>100</v>
      </c>
      <c r="D75" t="s">
        <v>22</v>
      </c>
      <c r="E75" t="s">
        <v>187</v>
      </c>
    </row>
    <row r="76" spans="1:5" x14ac:dyDescent="0.25">
      <c r="A76" t="s">
        <v>188</v>
      </c>
      <c r="B76" t="s">
        <v>145</v>
      </c>
      <c r="C76" t="s">
        <v>100</v>
      </c>
      <c r="D76" t="s">
        <v>22</v>
      </c>
      <c r="E76" t="s">
        <v>189</v>
      </c>
    </row>
    <row r="77" spans="1:5" x14ac:dyDescent="0.25">
      <c r="A77" t="s">
        <v>190</v>
      </c>
      <c r="B77" t="s">
        <v>134</v>
      </c>
      <c r="C77" t="s">
        <v>100</v>
      </c>
      <c r="D77" t="s">
        <v>22</v>
      </c>
      <c r="E77" t="s">
        <v>187</v>
      </c>
    </row>
    <row r="78" spans="1:5" x14ac:dyDescent="0.25">
      <c r="A78" t="s">
        <v>191</v>
      </c>
      <c r="B78" t="s">
        <v>47</v>
      </c>
      <c r="C78" t="s">
        <v>100</v>
      </c>
      <c r="D78" t="s">
        <v>22</v>
      </c>
      <c r="E78" t="s">
        <v>169</v>
      </c>
    </row>
    <row r="79" spans="1:5" x14ac:dyDescent="0.25">
      <c r="A79" t="s">
        <v>192</v>
      </c>
      <c r="B79" t="s">
        <v>129</v>
      </c>
      <c r="C79" t="s">
        <v>100</v>
      </c>
      <c r="D79" t="s">
        <v>66</v>
      </c>
      <c r="E79" t="s">
        <v>193</v>
      </c>
    </row>
    <row r="80" spans="1:5" x14ac:dyDescent="0.25">
      <c r="A80" t="s">
        <v>194</v>
      </c>
      <c r="B80" t="s">
        <v>195</v>
      </c>
      <c r="C80" t="s">
        <v>41</v>
      </c>
      <c r="D80" t="s">
        <v>22</v>
      </c>
      <c r="E80" t="s">
        <v>42</v>
      </c>
    </row>
    <row r="81" spans="1:5" x14ac:dyDescent="0.25">
      <c r="A81" t="s">
        <v>196</v>
      </c>
      <c r="B81" t="s">
        <v>195</v>
      </c>
      <c r="C81" t="s">
        <v>100</v>
      </c>
      <c r="D81" t="s">
        <v>22</v>
      </c>
      <c r="E81" t="s">
        <v>42</v>
      </c>
    </row>
    <row r="82" spans="1:5" x14ac:dyDescent="0.25">
      <c r="A82" t="s">
        <v>197</v>
      </c>
      <c r="B82" t="s">
        <v>198</v>
      </c>
      <c r="C82" t="s">
        <v>21</v>
      </c>
      <c r="D82" t="s">
        <v>87</v>
      </c>
      <c r="E82" t="s">
        <v>199</v>
      </c>
    </row>
    <row r="83" spans="1:5" x14ac:dyDescent="0.25">
      <c r="A83" t="s">
        <v>200</v>
      </c>
      <c r="B83" t="s">
        <v>198</v>
      </c>
      <c r="C83" t="s">
        <v>25</v>
      </c>
      <c r="D83" t="s">
        <v>87</v>
      </c>
      <c r="E83" t="s">
        <v>201</v>
      </c>
    </row>
    <row r="84" spans="1:5" x14ac:dyDescent="0.25">
      <c r="A84" t="s">
        <v>202</v>
      </c>
      <c r="B84" t="s">
        <v>198</v>
      </c>
      <c r="C84" t="s">
        <v>28</v>
      </c>
      <c r="D84" t="s">
        <v>87</v>
      </c>
      <c r="E84" t="s">
        <v>203</v>
      </c>
    </row>
    <row r="85" spans="1:5" x14ac:dyDescent="0.25">
      <c r="A85" t="s">
        <v>204</v>
      </c>
      <c r="B85" t="s">
        <v>198</v>
      </c>
      <c r="C85" t="s">
        <v>31</v>
      </c>
      <c r="D85" t="s">
        <v>87</v>
      </c>
      <c r="E85" t="s">
        <v>205</v>
      </c>
    </row>
    <row r="86" spans="1:5" x14ac:dyDescent="0.25">
      <c r="A86" t="s">
        <v>206</v>
      </c>
      <c r="B86" t="s">
        <v>198</v>
      </c>
      <c r="C86" t="s">
        <v>34</v>
      </c>
      <c r="D86" t="s">
        <v>87</v>
      </c>
      <c r="E86" t="s">
        <v>207</v>
      </c>
    </row>
    <row r="87" spans="1:5" x14ac:dyDescent="0.25">
      <c r="A87" t="s">
        <v>208</v>
      </c>
      <c r="B87" t="s">
        <v>198</v>
      </c>
      <c r="C87" t="s">
        <v>37</v>
      </c>
      <c r="D87" t="s">
        <v>87</v>
      </c>
      <c r="E87" t="s">
        <v>163</v>
      </c>
    </row>
    <row r="88" spans="1:5" x14ac:dyDescent="0.25">
      <c r="A88" t="s">
        <v>209</v>
      </c>
      <c r="B88" t="s">
        <v>198</v>
      </c>
      <c r="C88" t="s">
        <v>41</v>
      </c>
      <c r="D88" t="s">
        <v>87</v>
      </c>
      <c r="E88" t="s">
        <v>210</v>
      </c>
    </row>
    <row r="89" spans="1:5" x14ac:dyDescent="0.25">
      <c r="A89" t="s">
        <v>211</v>
      </c>
      <c r="B89" t="s">
        <v>198</v>
      </c>
      <c r="C89" t="s">
        <v>100</v>
      </c>
      <c r="D89" t="s">
        <v>87</v>
      </c>
      <c r="E89" t="s">
        <v>212</v>
      </c>
    </row>
    <row r="90" spans="1:5" x14ac:dyDescent="0.25">
      <c r="A90" t="s">
        <v>213</v>
      </c>
      <c r="B90" t="s">
        <v>214</v>
      </c>
      <c r="C90" t="s">
        <v>34</v>
      </c>
      <c r="D90" t="s">
        <v>66</v>
      </c>
      <c r="E90" t="s">
        <v>215</v>
      </c>
    </row>
    <row r="91" spans="1:5" x14ac:dyDescent="0.25">
      <c r="A91" t="s">
        <v>216</v>
      </c>
      <c r="B91" t="s">
        <v>214</v>
      </c>
      <c r="C91" t="s">
        <v>31</v>
      </c>
      <c r="D91" t="s">
        <v>66</v>
      </c>
      <c r="E91" t="s">
        <v>32</v>
      </c>
    </row>
    <row r="92" spans="1:5" x14ac:dyDescent="0.25">
      <c r="A92" t="s">
        <v>217</v>
      </c>
      <c r="B92" t="s">
        <v>218</v>
      </c>
      <c r="C92" t="s">
        <v>21</v>
      </c>
      <c r="D92" t="s">
        <v>219</v>
      </c>
      <c r="E92" t="s">
        <v>220</v>
      </c>
    </row>
    <row r="93" spans="1:5" x14ac:dyDescent="0.25">
      <c r="A93" t="s">
        <v>221</v>
      </c>
      <c r="B93" t="s">
        <v>62</v>
      </c>
      <c r="C93" t="s">
        <v>222</v>
      </c>
      <c r="D93" t="s">
        <v>223</v>
      </c>
      <c r="E93" t="s">
        <v>224</v>
      </c>
    </row>
    <row r="94" spans="1:5" x14ac:dyDescent="0.25">
      <c r="A94" t="s">
        <v>225</v>
      </c>
      <c r="B94" t="s">
        <v>62</v>
      </c>
      <c r="C94" t="s">
        <v>226</v>
      </c>
      <c r="D94" t="s">
        <v>223</v>
      </c>
      <c r="E94" t="s">
        <v>227</v>
      </c>
    </row>
    <row r="95" spans="1:5" x14ac:dyDescent="0.25">
      <c r="A95" t="s">
        <v>228</v>
      </c>
      <c r="B95" t="s">
        <v>62</v>
      </c>
      <c r="C95" t="s">
        <v>229</v>
      </c>
      <c r="D95" t="s">
        <v>223</v>
      </c>
      <c r="E95" t="s">
        <v>230</v>
      </c>
    </row>
    <row r="96" spans="1:5" x14ac:dyDescent="0.25">
      <c r="A96" t="s">
        <v>231</v>
      </c>
      <c r="B96" t="s">
        <v>62</v>
      </c>
      <c r="C96" t="s">
        <v>172</v>
      </c>
      <c r="D96" t="s">
        <v>66</v>
      </c>
      <c r="E96" t="s">
        <v>173</v>
      </c>
    </row>
    <row r="97" spans="1:5" x14ac:dyDescent="0.25">
      <c r="A97" t="s">
        <v>232</v>
      </c>
      <c r="B97" t="s">
        <v>62</v>
      </c>
      <c r="C97" t="s">
        <v>172</v>
      </c>
      <c r="D97" t="s">
        <v>63</v>
      </c>
      <c r="E97" t="s">
        <v>173</v>
      </c>
    </row>
    <row r="98" spans="1:5" x14ac:dyDescent="0.25">
      <c r="A98" t="s">
        <v>233</v>
      </c>
      <c r="B98" t="s">
        <v>158</v>
      </c>
      <c r="C98" t="s">
        <v>234</v>
      </c>
      <c r="D98" t="s">
        <v>235</v>
      </c>
      <c r="E98" t="s">
        <v>236</v>
      </c>
    </row>
    <row r="99" spans="1:5" x14ac:dyDescent="0.25">
      <c r="A99" t="s">
        <v>237</v>
      </c>
      <c r="B99" t="s">
        <v>158</v>
      </c>
      <c r="C99" t="s">
        <v>238</v>
      </c>
      <c r="D99" t="s">
        <v>235</v>
      </c>
      <c r="E99" t="s">
        <v>239</v>
      </c>
    </row>
    <row r="100" spans="1:5" x14ac:dyDescent="0.25">
      <c r="A100" t="s">
        <v>240</v>
      </c>
      <c r="B100" t="s">
        <v>158</v>
      </c>
      <c r="C100" t="s">
        <v>241</v>
      </c>
      <c r="D100" t="s">
        <v>235</v>
      </c>
      <c r="E100" t="s">
        <v>242</v>
      </c>
    </row>
    <row r="101" spans="1:5" x14ac:dyDescent="0.25">
      <c r="A101" t="s">
        <v>243</v>
      </c>
      <c r="B101" t="s">
        <v>105</v>
      </c>
      <c r="C101" t="s">
        <v>244</v>
      </c>
      <c r="D101" t="s">
        <v>66</v>
      </c>
      <c r="E101" t="s">
        <v>74</v>
      </c>
    </row>
    <row r="102" spans="1:5" x14ac:dyDescent="0.25">
      <c r="A102" t="s">
        <v>245</v>
      </c>
      <c r="B102" t="s">
        <v>105</v>
      </c>
      <c r="C102" t="s">
        <v>100</v>
      </c>
      <c r="D102" t="s">
        <v>22</v>
      </c>
      <c r="E102" t="s">
        <v>189</v>
      </c>
    </row>
    <row r="103" spans="1:5" x14ac:dyDescent="0.25">
      <c r="A103" t="s">
        <v>246</v>
      </c>
      <c r="B103" t="s">
        <v>129</v>
      </c>
      <c r="C103" t="s">
        <v>25</v>
      </c>
      <c r="D103" t="s">
        <v>66</v>
      </c>
      <c r="E103" t="s">
        <v>247</v>
      </c>
    </row>
    <row r="104" spans="1:5" x14ac:dyDescent="0.25">
      <c r="A104" t="s">
        <v>248</v>
      </c>
      <c r="B104" t="s">
        <v>129</v>
      </c>
      <c r="C104" t="s">
        <v>28</v>
      </c>
      <c r="D104" t="s">
        <v>66</v>
      </c>
      <c r="E104" t="s">
        <v>249</v>
      </c>
    </row>
    <row r="105" spans="1:5" x14ac:dyDescent="0.25">
      <c r="A105" t="s">
        <v>250</v>
      </c>
      <c r="B105" t="s">
        <v>129</v>
      </c>
      <c r="C105" t="s">
        <v>31</v>
      </c>
      <c r="D105" t="s">
        <v>66</v>
      </c>
      <c r="E105" t="s">
        <v>251</v>
      </c>
    </row>
    <row r="106" spans="1:5" x14ac:dyDescent="0.25">
      <c r="A106" t="s">
        <v>252</v>
      </c>
      <c r="B106" t="s">
        <v>129</v>
      </c>
      <c r="C106" t="s">
        <v>37</v>
      </c>
      <c r="D106" t="s">
        <v>66</v>
      </c>
      <c r="E106" t="s">
        <v>253</v>
      </c>
    </row>
    <row r="107" spans="1:5" x14ac:dyDescent="0.25">
      <c r="A107" t="s">
        <v>254</v>
      </c>
      <c r="B107" t="s">
        <v>129</v>
      </c>
      <c r="C107" t="s">
        <v>41</v>
      </c>
      <c r="D107" t="s">
        <v>66</v>
      </c>
      <c r="E107" t="s">
        <v>255</v>
      </c>
    </row>
    <row r="108" spans="1:5" x14ac:dyDescent="0.25">
      <c r="A108" t="s">
        <v>256</v>
      </c>
      <c r="B108" t="s">
        <v>118</v>
      </c>
      <c r="C108" t="s">
        <v>21</v>
      </c>
      <c r="D108" t="s">
        <v>66</v>
      </c>
      <c r="E108" t="s">
        <v>257</v>
      </c>
    </row>
    <row r="109" spans="1:5" x14ac:dyDescent="0.25">
      <c r="A109" t="s">
        <v>258</v>
      </c>
      <c r="B109" t="s">
        <v>118</v>
      </c>
      <c r="C109" t="s">
        <v>31</v>
      </c>
      <c r="D109" t="s">
        <v>66</v>
      </c>
      <c r="E109" t="s">
        <v>259</v>
      </c>
    </row>
    <row r="110" spans="1:5" x14ac:dyDescent="0.25">
      <c r="A110" t="s">
        <v>260</v>
      </c>
      <c r="B110" t="s">
        <v>118</v>
      </c>
      <c r="C110" t="s">
        <v>41</v>
      </c>
      <c r="D110" t="s">
        <v>66</v>
      </c>
      <c r="E110" t="s">
        <v>261</v>
      </c>
    </row>
    <row r="111" spans="1:5" x14ac:dyDescent="0.25">
      <c r="A111" t="s">
        <v>262</v>
      </c>
      <c r="B111" t="s">
        <v>118</v>
      </c>
      <c r="C111" t="s">
        <v>100</v>
      </c>
      <c r="D111" t="s">
        <v>66</v>
      </c>
      <c r="E111" t="s">
        <v>242</v>
      </c>
    </row>
    <row r="112" spans="1:5" x14ac:dyDescent="0.25">
      <c r="A112" t="s">
        <v>263</v>
      </c>
      <c r="B112" t="s">
        <v>20</v>
      </c>
      <c r="C112" t="s">
        <v>41</v>
      </c>
      <c r="D112" t="s">
        <v>22</v>
      </c>
      <c r="E112" t="s">
        <v>264</v>
      </c>
    </row>
    <row r="113" spans="1:5" x14ac:dyDescent="0.25">
      <c r="A113" t="s">
        <v>265</v>
      </c>
      <c r="B113" t="s">
        <v>20</v>
      </c>
      <c r="C113" t="s">
        <v>100</v>
      </c>
      <c r="D113" t="s">
        <v>22</v>
      </c>
      <c r="E113" t="s">
        <v>266</v>
      </c>
    </row>
    <row r="114" spans="1:5" x14ac:dyDescent="0.25">
      <c r="A114" t="s">
        <v>267</v>
      </c>
      <c r="B114" t="s">
        <v>214</v>
      </c>
      <c r="C114" t="s">
        <v>25</v>
      </c>
      <c r="D114" t="s">
        <v>66</v>
      </c>
      <c r="E114" t="s">
        <v>268</v>
      </c>
    </row>
    <row r="115" spans="1:5" x14ac:dyDescent="0.25">
      <c r="A115" t="s">
        <v>269</v>
      </c>
      <c r="B115" t="s">
        <v>158</v>
      </c>
      <c r="C115" t="s">
        <v>270</v>
      </c>
      <c r="D115" t="s">
        <v>22</v>
      </c>
      <c r="E115" t="s">
        <v>271</v>
      </c>
    </row>
    <row r="116" spans="1:5" x14ac:dyDescent="0.25">
      <c r="A116" t="s">
        <v>272</v>
      </c>
      <c r="B116" t="s">
        <v>158</v>
      </c>
      <c r="C116" t="s">
        <v>273</v>
      </c>
      <c r="D116" t="s">
        <v>22</v>
      </c>
      <c r="E116" t="s">
        <v>26</v>
      </c>
    </row>
    <row r="117" spans="1:5" x14ac:dyDescent="0.25">
      <c r="A117" t="s">
        <v>274</v>
      </c>
      <c r="B117" t="s">
        <v>275</v>
      </c>
      <c r="C117" t="s">
        <v>34</v>
      </c>
      <c r="D117" t="s">
        <v>276</v>
      </c>
      <c r="E117" t="s">
        <v>277</v>
      </c>
    </row>
    <row r="118" spans="1:5" x14ac:dyDescent="0.25">
      <c r="A118" t="s">
        <v>278</v>
      </c>
      <c r="B118" t="s">
        <v>279</v>
      </c>
      <c r="C118" t="s">
        <v>37</v>
      </c>
      <c r="D118" t="s">
        <v>276</v>
      </c>
      <c r="E118" t="s">
        <v>42</v>
      </c>
    </row>
    <row r="119" spans="1:5" x14ac:dyDescent="0.25">
      <c r="A119" t="s">
        <v>280</v>
      </c>
      <c r="B119" t="s">
        <v>158</v>
      </c>
      <c r="C119" t="s">
        <v>281</v>
      </c>
      <c r="D119" t="s">
        <v>22</v>
      </c>
      <c r="E119" t="s">
        <v>282</v>
      </c>
    </row>
    <row r="120" spans="1:5" x14ac:dyDescent="0.25">
      <c r="A120" t="s">
        <v>283</v>
      </c>
      <c r="B120" t="s">
        <v>158</v>
      </c>
      <c r="C120" t="s">
        <v>284</v>
      </c>
      <c r="D120" t="s">
        <v>22</v>
      </c>
      <c r="E120" t="s">
        <v>285</v>
      </c>
    </row>
    <row r="121" spans="1:5" x14ac:dyDescent="0.25">
      <c r="A121" t="s">
        <v>286</v>
      </c>
      <c r="B121" t="s">
        <v>158</v>
      </c>
      <c r="C121" t="s">
        <v>287</v>
      </c>
      <c r="D121" t="s">
        <v>22</v>
      </c>
      <c r="E121" t="s">
        <v>288</v>
      </c>
    </row>
    <row r="122" spans="1:5" x14ac:dyDescent="0.25">
      <c r="A122" t="s">
        <v>289</v>
      </c>
      <c r="B122" t="s">
        <v>40</v>
      </c>
      <c r="C122" t="s">
        <v>21</v>
      </c>
      <c r="D122" t="s">
        <v>22</v>
      </c>
      <c r="E122" t="s">
        <v>290</v>
      </c>
    </row>
    <row r="123" spans="1:5" x14ac:dyDescent="0.25">
      <c r="A123" t="s">
        <v>291</v>
      </c>
      <c r="B123" t="s">
        <v>158</v>
      </c>
      <c r="C123" t="s">
        <v>241</v>
      </c>
      <c r="D123" t="s">
        <v>22</v>
      </c>
      <c r="E123" t="s">
        <v>242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A424DE-BEB1-45E6-BD09-80669EA625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24</vt:i4>
      </vt:variant>
    </vt:vector>
  </HeadingPairs>
  <TitlesOfParts>
    <vt:vector size="26" baseType="lpstr">
      <vt:lpstr>Sheet1</vt:lpstr>
      <vt:lpstr>Sheet2</vt:lpstr>
      <vt:lpstr>GTIWilsonArroyo</vt:lpstr>
      <vt:lpstr>TableAlanRitchey</vt:lpstr>
      <vt:lpstr>TableArcosaCrushedConcreteMckinney</vt:lpstr>
      <vt:lpstr>TableArcosaLWSAggregates</vt:lpstr>
      <vt:lpstr>TableBigCityCrushedConcreteLewisville</vt:lpstr>
      <vt:lpstr>TableBrannanAggregatesFTW</vt:lpstr>
      <vt:lpstr>TableDoleseSunnyside</vt:lpstr>
      <vt:lpstr>TableFlatironBridgeport</vt:lpstr>
      <vt:lpstr>TableFlatironBristol</vt:lpstr>
      <vt:lpstr>TableGlenRoseSG</vt:lpstr>
      <vt:lpstr>TableGraysonCountySG</vt:lpstr>
      <vt:lpstr>TableHansonRosser</vt:lpstr>
      <vt:lpstr>TableHeidelbergMaterialsBridgeportChico</vt:lpstr>
      <vt:lpstr>TableHeidelbergMaterialsBristolEnnis</vt:lpstr>
      <vt:lpstr>TableHeidelbergMaterialsRosser</vt:lpstr>
      <vt:lpstr>TableHeidelbergMaterialsWhitney</vt:lpstr>
      <vt:lpstr>TableLattimoreHolcim</vt:lpstr>
      <vt:lpstr>TableMartinMariettaMillCreek</vt:lpstr>
      <vt:lpstr>TablePKStoneChico</vt:lpstr>
      <vt:lpstr>TablePKStoneMillCreek</vt:lpstr>
      <vt:lpstr>TableQualitySandGravel</vt:lpstr>
      <vt:lpstr>TableResolve</vt:lpstr>
      <vt:lpstr>TableUnitedSandGravel</vt:lpstr>
      <vt:lpstr>UnitedGTIRollingRidgeVanAlstyne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Schereiber</dc:creator>
  <cp:lastModifiedBy>Christian Abelardo Schereiber Cornelio</cp:lastModifiedBy>
  <dcterms:created xsi:type="dcterms:W3CDTF">2023-06-28T21:16:43Z</dcterms:created>
  <dcterms:modified xsi:type="dcterms:W3CDTF">2024-07-10T00:09:06Z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2.5.6</vt:lpwstr>
  </property>
</Properties>
</file>