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officedocument.spreadsheetml.table+xml" PartName="/xl/tables/table1.xml"/>
  <Override ContentType="application/vnd.openxmlformats-officedocument.customXmlProperties+xml" PartName="/customXml/itemProps1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ristian.schereiber\Downloads\"/>
    </mc:Choice>
  </mc:AlternateContent>
  <xr:revisionPtr revIDLastSave="0" documentId="13_ncr:1_{9F14A0D9-9A93-470B-95F8-1B6DBE940E0F}" xr6:coauthVersionLast="47" xr6:coauthVersionMax="47" xr10:uidLastSave="{00000000-0000-0000-0000-000000000000}"/>
  <workbookProtection lockStructure="1" workbookPassword="c7db"/>
  <bookViews>
    <workbookView xWindow="-120" yWindow="-120" windowWidth="20730" windowHeight="11160" xr2:uid="{00000000-000D-0000-FFFF-FFFF00000000}"/>
  </bookViews>
  <sheets>
    <sheet name="Sheet1" sheetId="1" r:id="rId1"/>
    <sheet name="Sheet2" sheetId="2" r:id="rId9" state="hidden"/>
  </sheets>
  <definedNames>
    <definedName name="ArcosaCrushedConcreteLewisville">Sheet2!#REF!</definedName>
    <definedName name="ArcosaCrushedConcreteMckinney">Sheet2!#REF!</definedName>
    <definedName name="ArcosaLWSAggregates">Sheet2!#REF!</definedName>
    <definedName name="BrannanAggregatesFTW">Sheet2!#REF!</definedName>
    <definedName name="CHCWindomorePrinceton">Sheet2!#REF!</definedName>
    <definedName name="Cleburne">#REF!</definedName>
    <definedName name="Deposit">Sheet1!#REF!</definedName>
    <definedName name="Dolese_Sunnyside_FTW_Materials">Sheet2!#REF!</definedName>
    <definedName name="Grayson_County_SG_Denison">Sheet2!#REF!</definedName>
    <definedName name="GTIFriscoTheGrove">Sheet2!#REF!</definedName>
    <definedName name="GTIHiddenlakeMckinney">Sheet2!#REF!</definedName>
    <definedName name="GTITillagefarmsPrinceton">Sheet2!#REF!</definedName>
    <definedName name="GTIWilsonArroyo">Sheet2!$A$26</definedName>
    <definedName name="Hanson_Bridgeport_Chico">#REF!</definedName>
    <definedName name="Hanson_Bridgeport_Lake">#REF!</definedName>
    <definedName name="HeidelbergMaterialsBridgerport">Sheet2!#REF!</definedName>
    <definedName name="HeidelbergMaterialsBristolEnnis">Sheet2!#REF!</definedName>
    <definedName name="HMGarlandJobsiteDallasLinkConstruction">Sheet2!#REF!</definedName>
    <definedName name="HMGarlandJobsiteMesquiteLinkConstruction">Sheet2!#REF!</definedName>
    <definedName name="HMGarlandJobsitePegasusLinkConstruction">Sheet2!#REF!</definedName>
    <definedName name="MartinMariettaMillCreek">Sheet2!#REF!</definedName>
    <definedName name="Northlake">#REF!</definedName>
    <definedName name="P_K_Stone_Chico">#REF!</definedName>
    <definedName name="PegasusDallasTxSeg1">Sheet2!#REF!</definedName>
    <definedName name="PegasusGarlandTxSeg2">Sheet2!#REF!</definedName>
    <definedName name="PegasusMesquiteTxSeg3">Sheet2!#REF!</definedName>
    <definedName name="PrincetonTillageFarms">#REF!</definedName>
    <definedName name="Quality_Sand_Gravel_Yuba">Sheet2!#REF!</definedName>
    <definedName name="RanchoClearviewRoyseCity">Sheet2!#REF!</definedName>
    <definedName name="Resolve_Ravenna">#REF!</definedName>
    <definedName name="RK_Hall_Const_Alan_Ritchey_Yuba">Sheet2!#REF!</definedName>
    <definedName name="SalesTax">Sheet1!#REF!</definedName>
    <definedName name="TheGroveJobsiteFriscoTX">#REF!</definedName>
    <definedName name="United_Sand_Gravel1">#REF!</definedName>
    <definedName name="UnitedGTIRollingRidgeVanAlstyne">Sheet2!$B$26</definedName>
    <definedName name="UnitedSandGravel">Sheet2!#REF!</definedName>
    <definedName name="UnitedSandGravelIvanhoe">Sheet2!#REF!</definedName>
  </definedNames>
  <calcPr calcId="191029" fullCalcOn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<sst xmlns="http://schemas.openxmlformats.org/spreadsheetml/2006/main" count="292" uniqueCount="292">
  <si>
    <t xml:space="preserve">INVOICE R&amp;R TRUCKING INC </t>
  </si>
  <si>
    <t>Company Name</t>
  </si>
  <si>
    <t>V: 013 -06232024</t>
  </si>
  <si>
    <t>Adddress</t>
  </si>
  <si>
    <t>Invoice Date</t>
  </si>
  <si>
    <t>Loads of Week:</t>
  </si>
  <si>
    <t>Total Paid</t>
  </si>
  <si>
    <t>Fuel Surcharge</t>
  </si>
  <si>
    <t>Broker Fee</t>
  </si>
  <si>
    <t xml:space="preserve">Amount to Paid </t>
  </si>
  <si>
    <t>**Fill in the yellow box and display the options for Origen, Destination, and Material.</t>
  </si>
  <si>
    <t>DATE</t>
  </si>
  <si>
    <t>TICKET#</t>
  </si>
  <si>
    <t>ORIGEN ( Pick up)</t>
  </si>
  <si>
    <t>DESTINATION( Drop off)</t>
  </si>
  <si>
    <t>Material</t>
  </si>
  <si>
    <t>RATE</t>
  </si>
  <si>
    <t>TONS</t>
  </si>
  <si>
    <t>AMOUNT</t>
  </si>
  <si>
    <t>Alan RitcheyLewisvilleConcrete Sand</t>
  </si>
  <si>
    <t>Alan Ritchey</t>
  </si>
  <si>
    <t>Lewisville</t>
  </si>
  <si>
    <t>Concrete Sand</t>
  </si>
  <si>
    <t>$15.47</t>
  </si>
  <si>
    <t>Alan RitcheyProsperConcrete Sand</t>
  </si>
  <si>
    <t>Prosper</t>
  </si>
  <si>
    <t>$12.24</t>
  </si>
  <si>
    <t>Dolese (Sunnyside)</t>
  </si>
  <si>
    <t>Man Sand</t>
  </si>
  <si>
    <t>Alan RitcheyAnnaConcrete Sand</t>
  </si>
  <si>
    <t>Anna</t>
  </si>
  <si>
    <t>$8.93</t>
  </si>
  <si>
    <t>Glen Rose S&amp;G</t>
  </si>
  <si>
    <t>Rock</t>
  </si>
  <si>
    <t>Alan RitcheyAubreyConcrete Sand</t>
  </si>
  <si>
    <t>Aubrey</t>
  </si>
  <si>
    <t>$15.84</t>
  </si>
  <si>
    <t>Grayson County S&amp;G</t>
  </si>
  <si>
    <t>Pea Gravel</t>
  </si>
  <si>
    <t>Alan RitcheyGunterConcrete Sand</t>
  </si>
  <si>
    <t>Gunter</t>
  </si>
  <si>
    <t>$12.02</t>
  </si>
  <si>
    <t>Heidelberg Materials Bridgeport /Chico</t>
  </si>
  <si>
    <t>Lightweight</t>
  </si>
  <si>
    <t>Alan RitcheyFarmersvilleConcrete Sand</t>
  </si>
  <si>
    <t>Farmersville</t>
  </si>
  <si>
    <t>$10.49</t>
  </si>
  <si>
    <t>Heidelberg Materials -Rosser</t>
  </si>
  <si>
    <t>TX 118 MSE Wall BF</t>
  </si>
  <si>
    <t>Dolese (Sunnyside)HasletConcrete Sand</t>
  </si>
  <si>
    <t>Haslet</t>
  </si>
  <si>
    <t>$4.50</t>
  </si>
  <si>
    <t>Heidelberg Materials -Whitney</t>
  </si>
  <si>
    <t>Natural Sand</t>
  </si>
  <si>
    <t>Glen Rose S&amp;GHasletConcrete Sand</t>
  </si>
  <si>
    <t>$-</t>
  </si>
  <si>
    <t>Lattimore (Holcim)</t>
  </si>
  <si>
    <t>Northlake</t>
  </si>
  <si>
    <t>Flex base / Rip rap</t>
  </si>
  <si>
    <t>Grayson County S&amp;GGunterConcrete Sand</t>
  </si>
  <si>
    <t>$7.30</t>
  </si>
  <si>
    <t>P&amp;K Stone -Chico</t>
  </si>
  <si>
    <t>HM/FlatironFTW</t>
  </si>
  <si>
    <t>Grayson County S&amp;GAnnaConcrete Sand</t>
  </si>
  <si>
    <t>$7.70</t>
  </si>
  <si>
    <t>P&amp;K Stone -Mill Creek</t>
  </si>
  <si>
    <t>HM/Pegasus_Garland Tx Seg 2</t>
  </si>
  <si>
    <t>Grayson County S&amp;GFarmersvilleConcrete Sand</t>
  </si>
  <si>
    <t>$9.58</t>
  </si>
  <si>
    <t>Quality Sand &amp; Gravel</t>
  </si>
  <si>
    <t>HM/Pegasus_Mesquite Tx Seg 3</t>
  </si>
  <si>
    <t>Grayson County S&amp;GProsperConcrete Sand</t>
  </si>
  <si>
    <t>$10.05</t>
  </si>
  <si>
    <t>Resolve</t>
  </si>
  <si>
    <t>HM/Pegasus_Dallas Tx Seg 1</t>
  </si>
  <si>
    <t>Grayson County S&amp;GAubreyConcrete Sand</t>
  </si>
  <si>
    <t>$10.98</t>
  </si>
  <si>
    <t>United Sand &amp; Gravel</t>
  </si>
  <si>
    <t>United S&amp;G-GTI/Frisco The Grove</t>
  </si>
  <si>
    <t>Grayson County S&amp;GLewisvilleConcrete Sand</t>
  </si>
  <si>
    <t>$13.09</t>
  </si>
  <si>
    <t>Flatiron - Bridgeport</t>
  </si>
  <si>
    <t>United S&amp;G-GTI/Tillage farms Princeton</t>
  </si>
  <si>
    <t>Grayson County S&amp;GHasletConcrete Sand</t>
  </si>
  <si>
    <t>$17.59</t>
  </si>
  <si>
    <t>Flatiron Bristol</t>
  </si>
  <si>
    <t>United S&amp;G-GTI/Hidden lake Mckinney</t>
  </si>
  <si>
    <t>Heidelberg Materials Bridgeport /ChicoLewisvilleMan Sand</t>
  </si>
  <si>
    <t>$11.38</t>
  </si>
  <si>
    <t>Hanson -Rosser</t>
  </si>
  <si>
    <t>HM/Cleburne_MM</t>
  </si>
  <si>
    <t>Heidelberg Materials Bridgeport /ChicoLewisvilleRock</t>
  </si>
  <si>
    <t>Brannan Aggregates FTW</t>
  </si>
  <si>
    <t>United S&amp;G-CHC/Windmore Princeton</t>
  </si>
  <si>
    <t>Heidelberg Materials Bridgeport /ChicoProsperMan Sand</t>
  </si>
  <si>
    <t>$11.83</t>
  </si>
  <si>
    <t>Heidelberg Materials-Bristol/Ennis</t>
  </si>
  <si>
    <t>United S&amp;G-GTI/Ranch Clearview Royse City</t>
  </si>
  <si>
    <t>Heidelberg Materials Bridgeport /ChicoProsperRock</t>
  </si>
  <si>
    <t>Martin Marietta - Mill Creek</t>
  </si>
  <si>
    <t>United S&amp;G-GTI/Wilson Creek</t>
  </si>
  <si>
    <t>Heidelberg Materials Bridgeport /ChicoAnnaMan Sand</t>
  </si>
  <si>
    <t>$17.98</t>
  </si>
  <si>
    <t>Arcosa LWS Aggregates</t>
  </si>
  <si>
    <t xml:space="preserve">United S&amp;G-GTI/Rolling Ridge  Van Alstyne</t>
  </si>
  <si>
    <t>Heidelberg Materials Bridgeport /ChicoAnnaRock</t>
  </si>
  <si>
    <t>Big City Crushed Concrete - Lewisville</t>
  </si>
  <si>
    <t>United S&amp;G-CHC/Meadow Ridge Nevada</t>
  </si>
  <si>
    <t>Heidelberg Materials Bridgeport /ChicoAubreyMan Sand</t>
  </si>
  <si>
    <t>$9.48</t>
  </si>
  <si>
    <t>Arcosa Crushed Concrete - Mckinney</t>
  </si>
  <si>
    <t>Heidelberg Materials Bridgeport /ChicoAubreyRock</t>
  </si>
  <si>
    <t>Heidelberg Materials Bridgeport /ChicoGunterMan Sand</t>
  </si>
  <si>
    <t>$13.48</t>
  </si>
  <si>
    <t>Heidelberg Materials Bridgeport /ChicoGunterRock</t>
  </si>
  <si>
    <t>Heidelberg Materials Bridgeport /ChicoFarmersvilleMan Sand</t>
  </si>
  <si>
    <t>$19.93</t>
  </si>
  <si>
    <t>Heidelberg Materials Bridgeport /ChicoFarmersvilleRock</t>
  </si>
  <si>
    <t>Heidelberg Materials Bridgeport /ChicoHasletMan Sand</t>
  </si>
  <si>
    <t>$8.13</t>
  </si>
  <si>
    <t>Heidelberg Materials Bridgeport /ChicoHasletRock</t>
  </si>
  <si>
    <t>Heidelberg Materials -RosserLewisvillePea Gravel</t>
  </si>
  <si>
    <t>$13.14</t>
  </si>
  <si>
    <t>Heidelberg Materials -RosserFarmersvillePea Gravel</t>
  </si>
  <si>
    <t>$11.49</t>
  </si>
  <si>
    <t>Heidelberg Materials -RosserProsperPea Gravel</t>
  </si>
  <si>
    <t>$12.28</t>
  </si>
  <si>
    <t>Heidelberg Materials -RosserAnnaPea Gravel</t>
  </si>
  <si>
    <t>$12.89</t>
  </si>
  <si>
    <t>Heidelberg Materials -RosserHasletPea Gravel</t>
  </si>
  <si>
    <t>$14.40</t>
  </si>
  <si>
    <t>Heidelberg Materials -RosserAubreyPea Gravel</t>
  </si>
  <si>
    <t>$17.90</t>
  </si>
  <si>
    <t>Heidelberg Materials -RosserNorthlakePea Gravel</t>
  </si>
  <si>
    <t>$14.93</t>
  </si>
  <si>
    <t>Heidelberg Materials -RosserGunterPea Gravel</t>
  </si>
  <si>
    <t>$18.00</t>
  </si>
  <si>
    <t>Heidelberg Materials -WhitneyLewisvilleConcrete Sand</t>
  </si>
  <si>
    <t>$21.00</t>
  </si>
  <si>
    <t>Heidelberg Materials -WhitneyProsperConcrete Sand</t>
  </si>
  <si>
    <t>$21.28</t>
  </si>
  <si>
    <t>Heidelberg Materials -WhitneyAubreyConcrete Sand</t>
  </si>
  <si>
    <t>$21.68</t>
  </si>
  <si>
    <t>Heidelberg Materials -WhitneyFarmersvilleConcrete Sand</t>
  </si>
  <si>
    <t>$21.98</t>
  </si>
  <si>
    <t>Heidelberg Materials -WhitneyGunterConcrete Sand</t>
  </si>
  <si>
    <t>$23.23</t>
  </si>
  <si>
    <t>Heidelberg Materials -WhitneyAnnaConcrete Sand</t>
  </si>
  <si>
    <t>$23.00</t>
  </si>
  <si>
    <t>Lattimore (Holcim)AnnaRock</t>
  </si>
  <si>
    <t>Lattimore (Holcim)FarmersvilleRock</t>
  </si>
  <si>
    <t>$5.32</t>
  </si>
  <si>
    <t>Lattimore (Holcim)ProsperRock</t>
  </si>
  <si>
    <t>$6.21</t>
  </si>
  <si>
    <t>Lattimore (Holcim)GunterRock</t>
  </si>
  <si>
    <t>$4.86</t>
  </si>
  <si>
    <t>P&amp;K Stone -ChicoHasletRock</t>
  </si>
  <si>
    <t>$7.87</t>
  </si>
  <si>
    <t>P&amp;K Stone -Mill CreekGunterRock</t>
  </si>
  <si>
    <t>$15.20</t>
  </si>
  <si>
    <t>P&amp;K Stone -Mill CreekLewisvilleRock</t>
  </si>
  <si>
    <t>$22.41</t>
  </si>
  <si>
    <t>Quality Sand &amp; GravelAnnaConcrete Sand</t>
  </si>
  <si>
    <t>$8.48</t>
  </si>
  <si>
    <t>Quality Sand &amp; GravelFarmersvilleConcrete Sand</t>
  </si>
  <si>
    <t>$10.17</t>
  </si>
  <si>
    <t>Quality Sand &amp; GravelGunterConcrete Sand</t>
  </si>
  <si>
    <t>$12.29</t>
  </si>
  <si>
    <t>Quality Sand &amp; GravelProsperConcrete Sand</t>
  </si>
  <si>
    <t>$12.52</t>
  </si>
  <si>
    <t>Quality Sand &amp; GravelLewisvilleConcrete Sand</t>
  </si>
  <si>
    <t>$14.31</t>
  </si>
  <si>
    <t>ResolveAnnaConcrete Sand</t>
  </si>
  <si>
    <t>$7.01</t>
  </si>
  <si>
    <t>ResolveGunterConcrete Sand</t>
  </si>
  <si>
    <t>$8.26</t>
  </si>
  <si>
    <t>ResolveFarmersvilleConcrete Sand</t>
  </si>
  <si>
    <t>$9.10</t>
  </si>
  <si>
    <t>ResolveProsperConcrete Sand</t>
  </si>
  <si>
    <t>$11.00</t>
  </si>
  <si>
    <t>ResolveAubreyConcrete Sand</t>
  </si>
  <si>
    <t>$12.93</t>
  </si>
  <si>
    <t>ResolveLewisvilleConcrete Sand</t>
  </si>
  <si>
    <t>$13.47</t>
  </si>
  <si>
    <t>United Sand &amp; GravelAnnaConcrete Sand</t>
  </si>
  <si>
    <t>$8.75</t>
  </si>
  <si>
    <t>United Sand &amp; GravelFarmersvilleConcrete Sand</t>
  </si>
  <si>
    <t>$10.90</t>
  </si>
  <si>
    <t>United Sand &amp; GravelGunterConcrete Sand</t>
  </si>
  <si>
    <t>$12.50</t>
  </si>
  <si>
    <t>United Sand &amp; GravelProsperConcrete Sand</t>
  </si>
  <si>
    <t>$12.70</t>
  </si>
  <si>
    <t>United Sand &amp; GravelLewisvilleConcrete Sand</t>
  </si>
  <si>
    <t>$15.30</t>
  </si>
  <si>
    <t>United Sand &amp; GravelAubreyConcrete Sand</t>
  </si>
  <si>
    <t>$15.66</t>
  </si>
  <si>
    <t>Flatiron - BridgeportHM/FlatironFTWMan Sand</t>
  </si>
  <si>
    <t>$11.51</t>
  </si>
  <si>
    <t>Flatiron BristolHM/FlatironFTWMan Sand</t>
  </si>
  <si>
    <t>$13.78</t>
  </si>
  <si>
    <t>Dolese (Sunnyside)NorthlakeConcrete Sand</t>
  </si>
  <si>
    <t>Heidelberg Materials Bridgeport /ChicoNorthlakeMan Sand</t>
  </si>
  <si>
    <t>$7.50</t>
  </si>
  <si>
    <t>Heidelberg Materials Bridgeport /ChicoNorthlakeRock</t>
  </si>
  <si>
    <t>Hanson -RosserNorthlakePea Gravel</t>
  </si>
  <si>
    <t>$14.16</t>
  </si>
  <si>
    <t>P&amp;K Stone -ChicoNorthlakeRock</t>
  </si>
  <si>
    <t>$7.79</t>
  </si>
  <si>
    <t>United Sand &amp; GravelNorthlakeConcrete Sand</t>
  </si>
  <si>
    <t>$19.26</t>
  </si>
  <si>
    <t>ResolveNorthlakeConcrete Sand</t>
  </si>
  <si>
    <t>$18.36</t>
  </si>
  <si>
    <t>Quality Sand &amp; GravelNorthlakeConcrete Sand</t>
  </si>
  <si>
    <t>Grayson County S&amp;GNorthlakeConcrete Sand</t>
  </si>
  <si>
    <t>P&amp;K Stone -Mill CreekNorthlakeRock</t>
  </si>
  <si>
    <t>$21.96</t>
  </si>
  <si>
    <t>Brannan Aggregates FTWHasletConcrete Sand</t>
  </si>
  <si>
    <t>Brannan Aggregates FTWNorthlakeConcrete Sand</t>
  </si>
  <si>
    <t>Heidelberg Materials-Bristol/EnnisLewisvillePea Gravel</t>
  </si>
  <si>
    <t>$14.23</t>
  </si>
  <si>
    <t>Heidelberg Materials-Bristol/EnnisProsperPea Gravel</t>
  </si>
  <si>
    <t>$15.00</t>
  </si>
  <si>
    <t>Heidelberg Materials-Bristol/EnnisAnnaPea Gravel</t>
  </si>
  <si>
    <t>$17.00</t>
  </si>
  <si>
    <t>Heidelberg Materials-Bristol/EnnisAubreyPea Gravel</t>
  </si>
  <si>
    <t>$17.64</t>
  </si>
  <si>
    <t>Heidelberg Materials-Bristol/EnnisGunterPea Gravel</t>
  </si>
  <si>
    <t>$18.18</t>
  </si>
  <si>
    <t>Heidelberg Materials-Bristol/EnnisFarmersvillePea Gravel</t>
  </si>
  <si>
    <t>Heidelberg Materials-Bristol/EnnisHasletPea Gravel</t>
  </si>
  <si>
    <t>$15.50</t>
  </si>
  <si>
    <t>Heidelberg Materials-Bristol/EnnisNorthlakePea Gravel</t>
  </si>
  <si>
    <t>$16.29</t>
  </si>
  <si>
    <t>Martin Marietta - Mill CreekGunterRock</t>
  </si>
  <si>
    <t>$15.37</t>
  </si>
  <si>
    <t>Martin Marietta - Mill CreekAubreyRock</t>
  </si>
  <si>
    <t>Arcosa LWS AggregatesLewisvilleLightweight</t>
  </si>
  <si>
    <t>$19.19</t>
  </si>
  <si>
    <t>Heidelberg Materials Bridgeport /ChicoHM/Pegasus_Garland Tx Seg 2TX 118 MSE Wall BF</t>
  </si>
  <si>
    <t>$15.61</t>
  </si>
  <si>
    <t>Heidelberg Materials Bridgeport /ChicoHM/Pegasus_Mesquite Tx Seg 3TX 118 MSE Wall BF</t>
  </si>
  <si>
    <t>$17.05</t>
  </si>
  <si>
    <t>Heidelberg Materials Bridgeport /ChicoHM/Pegasus_Dallas Tx Seg 1TX 118 MSE Wall BF</t>
  </si>
  <si>
    <t>$14.66</t>
  </si>
  <si>
    <t>Heidelberg Materials Bridgeport /ChicoHM/FlatironFTWRock</t>
  </si>
  <si>
    <t>Heidelberg Materials Bridgeport /ChicoHM/FlatironFTWMan Sand</t>
  </si>
  <si>
    <t>United Sand &amp; GravelUnited S&amp;G-GTI/Frisco The GroveNatural Sand</t>
  </si>
  <si>
    <t>$11.79</t>
  </si>
  <si>
    <t>United Sand &amp; GravelUnited S&amp;G-GTI/Tillage farms PrincetonNatural Sand</t>
  </si>
  <si>
    <t>$12.42</t>
  </si>
  <si>
    <t>United Sand &amp; GravelUnited S&amp;G-GTI/Hidden lake MckinneyNatural Sand</t>
  </si>
  <si>
    <t>$11.16</t>
  </si>
  <si>
    <t>Heidelberg Materials -WhitneyHM/Cleburne_MMRock</t>
  </si>
  <si>
    <t>Heidelberg Materials -WhitneyNorthlakeConcrete Sand</t>
  </si>
  <si>
    <t>P&amp;K Stone -Mill CreekProsperRock</t>
  </si>
  <si>
    <t>$17.01</t>
  </si>
  <si>
    <t>P&amp;K Stone -Mill CreekAnnaRock</t>
  </si>
  <si>
    <t>$17.91</t>
  </si>
  <si>
    <t>P&amp;K Stone -Mill CreekAubreyRock</t>
  </si>
  <si>
    <t>$15.75</t>
  </si>
  <si>
    <t>P&amp;K Stone -Mill CreekFarmersvilleRock</t>
  </si>
  <si>
    <t>$20.79</t>
  </si>
  <si>
    <t>P&amp;K Stone -Mill CreekHasletRock</t>
  </si>
  <si>
    <t>$22.59</t>
  </si>
  <si>
    <t>Lattimore (Holcim)LewisvilleRock</t>
  </si>
  <si>
    <t>$6.30</t>
  </si>
  <si>
    <t>Lattimore (Holcim)AubreyRock</t>
  </si>
  <si>
    <t>$6.84</t>
  </si>
  <si>
    <t>Lattimore (Holcim)HasletRock</t>
  </si>
  <si>
    <t>$11.34</t>
  </si>
  <si>
    <t>Lattimore (Holcim)NorthlakeRock</t>
  </si>
  <si>
    <t>Alan RitcheyHasletConcrete Sand</t>
  </si>
  <si>
    <t>$20.16</t>
  </si>
  <si>
    <t>Alan RitcheyNorthlakeConcrete Sand</t>
  </si>
  <si>
    <t>$19.62</t>
  </si>
  <si>
    <t>Martin Marietta - Mill CreekProsperRock</t>
  </si>
  <si>
    <t>$17.95</t>
  </si>
  <si>
    <t>United Sand &amp; GravelUnited S&amp;G-CHC/Windmore PrincetonConcrete Sand</t>
  </si>
  <si>
    <t>$11.70</t>
  </si>
  <si>
    <t>United Sand &amp; GravelUnited S&amp;G-GTI/Ranch Clearview Royse CityConcrete Sand</t>
  </si>
  <si>
    <t>Big City Crushed Concrete - LewisvilleGunterFlex base / Rip rap</t>
  </si>
  <si>
    <t>$7.58</t>
  </si>
  <si>
    <t>Arcosa Crushed Concrete - MckinneyFarmersvilleFlex base / Rip rap</t>
  </si>
  <si>
    <t>United Sand &amp; GravelUnited S&amp;G-GTI/Wilson CreekConcrete Sand</t>
  </si>
  <si>
    <t>$12.60</t>
  </si>
  <si>
    <t xml:space="preserve">United Sand &amp; GravelUnited S&amp;G-GTI/Rolling Ridge  Van AlstyneConcrete Sand</t>
  </si>
  <si>
    <t>$9.18</t>
  </si>
  <si>
    <t>United Sand &amp; GravelUnited S&amp;G-CHC/Meadow Ridge NevadaConcrete Sand</t>
  </si>
  <si>
    <t>$11.50</t>
  </si>
  <si>
    <t>Dolese (Sunnyside)LewisvilleConcrete Sand</t>
  </si>
  <si>
    <t>$7.52</t>
  </si>
  <si>
    <t>United Sand &amp; GravelUnited S&amp;G-GTI/Hidden lake MckinneyConcrete Sand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</si>
</sst>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[$$-409]* #,##0.00_);_([$$-409]* \(#,##0.00\);_([$$-409]* &quot;-&quot;??_);_(@_)"/>
  </numFmts>
  <fonts count="10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206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9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43" applyNumberFormat="1" fontId="1" applyFont="0" fillId="0" applyFill="0" borderId="0" applyBorder="0" applyProtection="0" applyAlignment="0"/>
    <xf numFmtId="44" applyNumberFormat="1" fontId="1" applyFont="0" fillId="0" applyFill="0" borderId="0" applyBorder="0" applyProtection="0" applyAlignment="0"/>
    <xf numFmtId="9" applyNumberFormat="1" fontId="1" applyFont="0" fillId="0" applyFill="0" borderId="0" applyBorder="0" applyProtection="0" applyAlignment="0"/>
  </cellStyleXfs>
  <cellXfs count="60">
    <xf numFmtId="0" fontId="0" fillId="0" borderId="0" xfId="0"/>
    <xf numFmtId="0" fontId="2" applyFont="1" fillId="0" borderId="0" xfId="0"/>
    <xf numFmtId="44" applyNumberFormat="1" fontId="0" applyFont="1" fillId="0" borderId="0" xfId="2"/>
    <xf numFmtId="0" fontId="0" fillId="2" applyFill="1" borderId="1" applyBorder="1" xfId="0" applyProtection="1" applyAlignment="1">
      <alignment horizontal="left" vertical="center" wrapText="1" indent="1"/>
      <protection locked="0"/>
    </xf>
    <xf numFmtId="14" applyNumberFormat="1" fontId="0" fillId="2" applyFill="1" borderId="3" applyBorder="1" xfId="0" applyProtection="1" applyAlignment="1">
      <alignment horizontal="left" vertical="center" wrapText="1" indent="1"/>
      <protection locked="0"/>
    </xf>
    <xf numFmtId="14" applyNumberFormat="1" fontId="0" fillId="2" applyFill="1" borderId="4" applyBorder="1" xfId="0" applyProtection="1" applyAlignment="1">
      <alignment horizontal="left" vertical="center" wrapText="1" indent="1"/>
      <protection locked="0"/>
    </xf>
    <xf numFmtId="0" fontId="0" fillId="2" applyFill="1" borderId="6" applyBorder="1" xfId="0" applyProtection="1" applyAlignment="1">
      <alignment horizontal="left" vertical="center" wrapText="1" indent="1"/>
      <protection locked="0"/>
    </xf>
    <xf numFmtId="0" fontId="0" fillId="0" borderId="3" applyBorder="1" xfId="0"/>
    <xf numFmtId="0" fontId="0" fillId="0" borderId="4" applyBorder="1" xfId="0"/>
    <xf numFmtId="14" applyNumberFormat="1" fontId="0" fillId="2" applyFill="1" borderId="6" applyBorder="1" xfId="0" applyProtection="1" applyAlignment="1">
      <protection locked="0"/>
    </xf>
    <xf numFmtId="14" applyNumberFormat="1" fontId="0" fillId="2" applyFill="1" borderId="9" applyBorder="1" xfId="0" applyProtection="1" applyAlignment="1">
      <protection locked="0"/>
    </xf>
    <xf numFmtId="44" applyNumberFormat="1" fontId="0" fillId="0" borderId="1" applyBorder="1" xfId="0"/>
    <xf numFmtId="164" applyNumberFormat="1" fontId="0" fillId="0" borderId="1" applyBorder="1" xfId="0"/>
    <xf numFmtId="44" applyNumberFormat="1" fontId="0" applyFont="1" fillId="0" borderId="1" applyBorder="1" xfId="2"/>
    <xf numFmtId="0" fontId="0" fillId="0" borderId="2" applyBorder="1" xfId="0"/>
    <xf numFmtId="44" applyNumberFormat="1" fontId="0" applyFont="1" fillId="0" borderId="16" applyBorder="1" xfId="2"/>
    <xf numFmtId="0" fontId="0" fillId="0" borderId="16" applyBorder="1" xfId="0" applyAlignment="1">
      <alignment horizontal="center"/>
    </xf>
    <xf numFmtId="0" fontId="0" fillId="0" borderId="17" applyBorder="1" xfId="0"/>
    <xf numFmtId="0" fontId="6" applyFont="1" fillId="0" borderId="18" applyBorder="1" xfId="0"/>
    <xf numFmtId="0" fontId="0" fillId="0" borderId="19" applyBorder="1" xfId="0"/>
    <xf numFmtId="44" applyNumberFormat="1" fontId="0" applyFont="1" fillId="0" borderId="20" applyBorder="1" xfId="2"/>
    <xf numFmtId="9" applyNumberFormat="1" fontId="0" fillId="0" borderId="1" applyBorder="1" xfId="0"/>
    <xf numFmtId="44" applyNumberFormat="1" fontId="8" applyFont="1" fillId="5" applyFill="1" borderId="1" applyBorder="1" xfId="2"/>
    <xf numFmtId="0" fontId="0" fillId="4" applyFill="1" borderId="1" applyBorder="1" xfId="0"/>
    <xf numFmtId="0" fontId="3" applyFont="1" fillId="3" applyFill="1" borderId="22" applyBorder="1" xfId="0" applyAlignment="1">
      <alignment horizontal="left" vertical="center" wrapText="1" indent="1"/>
    </xf>
    <xf numFmtId="0" fontId="0" fillId="0" borderId="0" xfId="0" applyAlignment="1">
      <alignment horizontal="center"/>
    </xf>
    <xf numFmtId="10" applyNumberFormat="1" fontId="5" applyFont="1" fillId="2" applyFill="1" borderId="1" applyBorder="1" xfId="3" applyProtection="1" applyAlignment="1">
      <alignment horizontal="right"/>
      <protection locked="0"/>
    </xf>
    <xf numFmtId="2" applyNumberFormat="1" fontId="0" applyFont="1" fillId="2" applyFill="1" borderId="1" applyBorder="1" xfId="1" applyProtection="1" applyAlignment="1">
      <alignment horizontal="right" vertical="center" indent="1"/>
      <protection locked="0"/>
    </xf>
    <xf numFmtId="44" applyNumberFormat="1" fontId="0" applyFont="1" fillId="0" borderId="8" applyBorder="1" xfId="2" applyAlignment="1">
      <alignment vertical="center"/>
    </xf>
    <xf numFmtId="0" fontId="4" applyFont="1" fillId="3" applyFill="1" borderId="23" applyBorder="1" xfId="0" applyAlignment="1">
      <alignment horizontal="center" vertical="center"/>
    </xf>
    <xf numFmtId="14" applyNumberFormat="1" fontId="0" fillId="2" applyFill="1" borderId="25" applyBorder="1" xfId="0" applyProtection="1" applyAlignment="1">
      <alignment horizontal="left" vertical="center" wrapText="1" indent="1"/>
      <protection locked="0"/>
    </xf>
    <xf numFmtId="44" applyNumberFormat="1" fontId="4" applyFont="1" fillId="3" applyFill="1" borderId="26" applyBorder="1" xfId="2" applyAlignment="1">
      <alignment horizontal="center" vertical="center"/>
    </xf>
    <xf numFmtId="2" applyNumberFormat="1" fontId="0" applyFont="1" fillId="2" applyFill="1" borderId="13" applyBorder="1" xfId="1" applyProtection="1" applyAlignment="1">
      <alignment horizontal="right" vertical="center" indent="1"/>
      <protection locked="0"/>
    </xf>
    <xf numFmtId="44" applyNumberFormat="1" fontId="0" applyFont="1" fillId="0" borderId="14" applyBorder="1" xfId="2" applyAlignment="1">
      <alignment vertical="center"/>
    </xf>
    <xf numFmtId="2" applyNumberFormat="1" fontId="0" applyFont="1" fillId="2" applyFill="1" borderId="6" applyBorder="1" xfId="1" applyProtection="1" applyAlignment="1">
      <alignment horizontal="right" vertical="center" indent="1"/>
      <protection locked="0"/>
    </xf>
    <xf numFmtId="44" applyNumberFormat="1" fontId="0" applyFont="1" fillId="0" borderId="9" applyBorder="1" xfId="2" applyAlignment="1">
      <alignment vertical="center"/>
    </xf>
    <xf numFmtId="44" applyNumberFormat="1" fontId="9" applyFont="1" fillId="0" borderId="10" applyBorder="1" xfId="2"/>
    <xf numFmtId="0" fontId="0" fillId="0" borderId="5" applyBorder="1" xfId="0" applyProtection="1" applyAlignment="1">
      <alignment horizontal="left" vertical="center" wrapText="1" indent="1"/>
      <protection locked="0"/>
    </xf>
    <xf numFmtId="49" applyNumberFormat="1" fontId="0" applyFont="1" fillId="0" borderId="5" applyBorder="1" xfId="1" applyProtection="1" applyAlignment="1">
      <alignment horizontal="center" vertical="center"/>
      <protection locked="0"/>
    </xf>
    <xf numFmtId="44" applyNumberFormat="1" fontId="0" applyFont="1" fillId="0" borderId="5" applyBorder="1" xfId="2" applyAlignment="1">
      <alignment vertical="center"/>
    </xf>
    <xf numFmtId="0" fontId="4" applyFont="1" fillId="3" applyFill="1" borderId="11" applyBorder="1" xfId="0" applyAlignment="1">
      <alignment horizontal="left" vertical="center" indent="1"/>
    </xf>
    <xf numFmtId="0" fontId="4" applyFont="1" fillId="3" applyFill="1" borderId="11" applyBorder="1" xfId="0" applyAlignment="1">
      <alignment horizontal="center" vertical="center"/>
    </xf>
    <xf numFmtId="44" applyNumberFormat="1" fontId="0" applyFont="1" fillId="0" borderId="6" applyBorder="1" xfId="2" applyAlignment="1">
      <alignment vertical="center"/>
    </xf>
    <xf numFmtId="0" fontId="0" fillId="0" borderId="6" applyBorder="1" xfId="0" applyProtection="1" applyAlignment="1">
      <alignment horizontal="left" vertical="center" wrapText="1" indent="1"/>
      <protection locked="0"/>
    </xf>
    <xf numFmtId="49" applyNumberFormat="1" fontId="0" applyFont="1" fillId="0" borderId="6" applyBorder="1" xfId="1" applyProtection="1" applyAlignment="1">
      <alignment horizontal="center" vertical="center"/>
      <protection locked="0"/>
    </xf>
    <xf numFmtId="0" fontId="0" fillId="2" applyFill="1" borderId="5" applyBorder="1" xfId="0" applyProtection="1" applyAlignment="1">
      <alignment horizontal="left" vertical="center" wrapText="1" indent="1"/>
      <protection locked="0"/>
    </xf>
    <xf numFmtId="0" fontId="4" applyFont="1" fillId="3" applyFill="1" borderId="27" applyBorder="1" xfId="0" applyAlignment="1">
      <alignment horizontal="left" vertical="center" indent="1"/>
    </xf>
    <xf numFmtId="0" fontId="8" applyFont="1" fillId="5" applyFill="1" borderId="24" applyBorder="1" xfId="0" applyAlignment="1">
      <alignment horizontal="left"/>
    </xf>
    <xf numFmtId="0" fontId="8" applyFont="1" fillId="5" applyFill="1" borderId="21" applyBorder="1" xfId="0" applyAlignment="1">
      <alignment horizontal="left"/>
    </xf>
    <xf numFmtId="0" fontId="7" applyFont="1" fillId="3" applyFill="1" borderId="15" applyBorder="1" xfId="0" applyAlignment="1">
      <alignment horizontal="center"/>
    </xf>
    <xf numFmtId="0" fontId="7" applyFont="1" fillId="3" applyFill="1" borderId="11" applyBorder="1" xfId="0" applyAlignment="1">
      <alignment horizontal="center"/>
    </xf>
    <xf numFmtId="0" fontId="7" applyFont="1" fillId="3" applyFill="1" borderId="12" applyBorder="1" xfId="0" applyAlignment="1">
      <alignment horizontal="center"/>
    </xf>
    <xf numFmtId="0" fontId="0" fillId="0" borderId="0" xfId="0" applyAlignment="1">
      <alignment horizontal="center"/>
    </xf>
    <xf numFmtId="0" fontId="0" fillId="0" borderId="16" applyBorder="1" xfId="0" applyAlignment="1">
      <alignment horizontal="center"/>
    </xf>
    <xf numFmtId="0" fontId="0" fillId="2" applyFill="1" borderId="5" applyBorder="1" xfId="0" applyProtection="1" applyAlignment="1">
      <alignment horizontal="center"/>
      <protection locked="0"/>
    </xf>
    <xf numFmtId="0" fontId="0" fillId="2" applyFill="1" borderId="7" applyBorder="1" xfId="0" applyProtection="1" applyAlignment="1">
      <alignment horizontal="center"/>
      <protection locked="0"/>
    </xf>
    <xf numFmtId="0" fontId="0" fillId="2" applyFill="1" borderId="1" applyBorder="1" xfId="0" applyProtection="1" applyAlignment="1">
      <alignment horizontal="center"/>
      <protection locked="0"/>
    </xf>
    <xf numFmtId="0" fontId="0" fillId="2" applyFill="1" borderId="8" applyBorder="1" xfId="0" applyProtection="1" applyAlignment="1">
      <alignment horizontal="center"/>
      <protection locked="0"/>
    </xf>
    <xf numFmtId="0" fontId="0" fillId="0" borderId="3" applyBorder="1" xfId="0" applyAlignment="1">
      <alignment horizontal="left"/>
    </xf>
    <xf numFmtId="0" fontId="0" fillId="0" borderId="1" applyBorder="1" xfId="0" applyAlignment="1">
      <alignment horizontal="left"/>
    </xf>
  </cellXfs>
  <cellStyles count="4">
    <cellStyle name="Millares" xfId="1" builtinId="3"/>
    <cellStyle name="Moneda" xfId="2" builtinId="4"/>
    <cellStyle name="Normal" xfId="0" builtinId="0"/>
    <cellStyle name="Porcentaje" xfId="3" builtinId="5"/>
  </cellStyles>
  <dxfs count="18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&quot;$&quot;#,##0.00"/>
      <alignment horizontal="left" vertical="center" textRotation="0" wrapText="1" indent="1" justifyLastLine="0" shrinkToFit="0" readingOrder="0"/>
    </dxf>
    <dxf>
      <numFmt numFmtId="34" formatCode="_(&quot;$&quot;* #,##0.00_);_(&quot;$&quot;* \(#,##0.00\);_(&quot;$&quot;* &quot;-&quot;??_);_(@_)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1" indent="1" justifyLastLine="0" shrinkToFit="0" readingOrder="0"/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34" formatCode="_(&quot;$&quot;* #,##0.00_);_(&quot;$&quot;* \(#,##0.00\);_(&quot;$&quot;* &quot;-&quot;??_);_(@_)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alignment horizontal="lef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alignment horizontal="left" vertical="center" textRotation="0" wrapText="1" indent="1" justifyLastLine="0" shrinkToFit="0" readingOrder="0"/>
      <border diagonalUp="0" diagonalDown="0" outline="0">
        <left/>
        <right/>
        <top/>
        <bottom/>
      </border>
    </dxf>
    <dxf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alignment horizontal="left" vertical="center" textRotation="0" wrapText="1" indent="1" justifyLastLine="0" shrinkToFit="0" readingOrder="0"/>
      <border diagonalUp="0" diagonalDown="0" outline="0">
        <left/>
        <right/>
        <top/>
        <bottom/>
      </border>
    </dxf>
    <dxf>
      <numFmt numFmtId="0" formatCode="General"/>
      <fill>
        <patternFill patternType="solid">
          <fgColor indexed="64"/>
          <bgColor rgb="FFFFFF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6"/>
        </patternFill>
      </fill>
    </dxf>
    <dxf>
      <font>
        <b/>
        <i val="0"/>
      </font>
      <border>
        <left style="thin">
          <color theme="1"/>
        </left>
        <right style="thin">
          <color theme="1"/>
        </right>
        <top style="thin">
          <color theme="1"/>
        </top>
        <bottom style="thick">
          <color theme="1"/>
        </bottom>
        <vertical style="thin">
          <color theme="1"/>
        </vertical>
      </border>
    </dxf>
    <dxf>
      <font>
        <b/>
        <i val="0"/>
      </font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</dxfs>
  <tableStyles count="1" defaultTableStyle="TableStyleMedium2" defaultPivotStyle="PivotStyleLight16">
    <tableStyle name="Invoice" pivot="0" count="3" xr9:uid="{00000000-0011-0000-FFFF-FFFF00000000}">
      <tableStyleElement type="wholeTable" dxfId="17"/>
      <tableStyleElement type="headerRow" dxfId="16"/>
      <tableStyleElement type="totalRow" dxfId="1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9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83819</xdr:colOff>
      <xdr:row>2</xdr:row>
      <xdr:rowOff>38100</xdr:rowOff>
    </xdr:from>
    <xdr:to>
      <xdr:col>7</xdr:col>
      <xdr:colOff>400050</xdr:colOff>
      <xdr:row>11</xdr:row>
      <xdr:rowOff>116202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F8B58C6-CD5C-3F06-E8D5-3808E4E6101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2085" t="16202" r="35086" b="17790"/>
        <a:stretch/>
      </xdr:blipFill>
      <xdr:spPr>
        <a:xfrm>
          <a:off x="7139939" y="449580"/>
          <a:ext cx="2857501" cy="18688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voice" displayName="Invoice" ref="B13:H200" totalsRowShown="0" headerRowDxfId="14" headerRowBorderDxfId="13">
  <autoFilter ref="B13:H200"/>
  <tableColumns count="7">
    <tableColumn id="6" xr3:uid="{00000000-0010-0000-0000-000006000000}" name="TICKET#" dataDxfId="12" totalsRowDxfId="2"/>
    <tableColumn id="7" xr3:uid="{00000000-0010-0000-0000-000007000000}" name="ORIGEN ( Pick up)" dataDxfId="10" totalsRowDxfId="2"/>
    <tableColumn id="2" xr3:uid="{00000000-0010-0000-0000-000002000000}" name="DESTINATION( Drop off)" dataDxfId="8" totalsRowDxfId="5"/>
    <tableColumn id="8" xr3:uid="{00000000-0010-0000-0000-000008000000}" name="Material" dataDxfId="6" totalsRowDxfId="5"/>
    <tableColumn id="3" xr3:uid="{00000000-0010-0000-0000-000003000000}" name="RATE" dataDxfId="1"/>
    <tableColumn id="4" xr3:uid="{00000000-0010-0000-0000-000004000000}" name="TONS" dataDxfId="3" totalsRowDxfId="2"/>
    <tableColumn id="5" xr3:uid="{00000000-0010-0000-0000-000005000000}" name="AMOUNT" dataDxfId="1" totalsRowDxfId="0">
    </tableColumn>
  </tableColumns>
  <tableStyleInfo name="Invoice" showFirstColumn="0" showLastColumn="0" showRowStripes="1" showColumnStripes="0"/>
  <extLst>
    <ext xmlns:x14="http://schemas.microsoft.com/office/spreadsheetml/2009/9/main" uri="{504A1905-F514-4f6f-8877-14C23A59335A}">
      <x14:table altTextSummary="Enter Item Number, Description, Price, and Quantity in this table. Amount is automatically calculated"/>
    </ext>
  </extLst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K200"/>
  <sheetViews>
    <sheetView showGridLines="0" tabSelected="1" zoomScaleNormal="100" workbookViewId="0">
      <selection activeCell="A14" sqref="A14"/>
    </sheetView>
  </sheetViews>
  <sheetFormatPr baseColWidth="10" defaultColWidth="11" defaultRowHeight="15.75" x14ac:dyDescent="0.25"/>
  <cols>
    <col min="1" max="1" width="16.375" customWidth="1"/>
    <col min="2" max="2" width="17.25" customWidth="1"/>
    <col min="3" max="3" width="35.25" customWidth="1"/>
    <col min="4" max="4" bestFit="1" width="20.875" customWidth="1"/>
    <col min="5" max="5" width="20.875" customWidth="1"/>
    <col min="7" max="7" width="16.5" customWidth="1"/>
    <col min="8" max="8" bestFit="1" width="12.25" customWidth="1" style="2"/>
  </cols>
  <sheetData>
    <row r="1" ht="16.5">
      <c r="A1" s="49" t="s">
        <v>0</v>
      </c>
      <c r="B1" s="50"/>
      <c r="C1" s="50"/>
      <c r="D1" s="50"/>
      <c r="E1" s="50"/>
      <c r="F1" s="50"/>
      <c r="G1" s="50"/>
      <c r="H1" s="51"/>
    </row>
    <row r="2" ht="16.5">
      <c r="A2" s="14" t="s">
        <v>1</v>
      </c>
      <c r="B2" s="54"/>
      <c r="C2" s="55"/>
      <c r="H2" s="36" t="s">
        <v>2</v>
      </c>
    </row>
    <row r="3">
      <c r="A3" s="7" t="s">
        <v>3</v>
      </c>
      <c r="B3" s="56"/>
      <c r="C3" s="57"/>
      <c r="H3" s="15"/>
    </row>
    <row r="4" ht="16.5">
      <c r="A4" s="8" t="s">
        <v>4</v>
      </c>
      <c r="B4" s="9"/>
      <c r="C4" s="10"/>
      <c r="G4" s="52"/>
      <c r="H4" s="53"/>
      <c r="K4" s="2"/>
    </row>
    <row r="5">
      <c r="A5" s="17"/>
      <c r="G5" s="25"/>
      <c r="H5" s="16"/>
    </row>
    <row r="6">
      <c r="A6" s="7" t="s">
        <v>5</v>
      </c>
      <c r="B6" s="23">
        <f>COUNT(B14:B200)</f>
        <v>0</v>
      </c>
      <c r="H6" s="15"/>
    </row>
    <row r="7">
      <c r="A7" s="58" t="s">
        <v>6</v>
      </c>
      <c r="B7" s="59"/>
      <c r="C7" s="11">
        <f>+SUM(H14:H200)</f>
        <v>0</v>
      </c>
      <c r="H7" s="15"/>
    </row>
    <row r="8">
      <c r="A8" s="7" t="s">
        <v>7</v>
      </c>
      <c r="B8" s="26"/>
      <c r="C8" s="12">
        <f>+C7*B8</f>
        <v>0</v>
      </c>
      <c r="H8" s="15"/>
    </row>
    <row r="9">
      <c r="A9" s="7" t="s">
        <v>8</v>
      </c>
      <c r="B9" s="21">
        <v>-0.1</v>
      </c>
      <c r="C9" s="13">
        <f>C7*B9</f>
        <v>0</v>
      </c>
      <c r="H9" s="15"/>
    </row>
    <row r="10">
      <c r="A10" s="47" t="s">
        <v>9</v>
      </c>
      <c r="B10" s="48"/>
      <c r="C10" s="22">
        <f>C7+C8+C9</f>
        <v>0</v>
      </c>
      <c r="H10" s="15"/>
    </row>
    <row r="11">
      <c r="A11" s="17"/>
      <c r="H11" s="15"/>
    </row>
    <row r="12" ht="16.5">
      <c r="A12" s="18" t="s">
        <v>10</v>
      </c>
      <c r="B12" s="19"/>
      <c r="C12" s="19"/>
      <c r="D12" s="19"/>
      <c r="E12" s="19"/>
      <c r="F12" s="19"/>
      <c r="G12" s="19"/>
      <c r="H12" s="20"/>
    </row>
    <row r="13" ht="16.5">
      <c r="A13" s="24" t="s">
        <v>11</v>
      </c>
      <c r="B13" s="46" t="s">
        <v>12</v>
      </c>
      <c r="C13" s="40" t="s">
        <v>13</v>
      </c>
      <c r="D13" s="40" t="s">
        <v>14</v>
      </c>
      <c r="E13" s="41" t="s">
        <v>15</v>
      </c>
      <c r="F13" s="41" t="s">
        <v>16</v>
      </c>
      <c r="G13" s="29" t="s">
        <v>17</v>
      </c>
      <c r="H13" s="31" t="s">
        <v>18</v>
      </c>
      <c r="I13" s="1"/>
    </row>
    <row r="14">
      <c r="A14" s="30"/>
      <c r="B14" s="45"/>
      <c r="C14" s="37"/>
      <c r="D14" s="37"/>
      <c r="E14" s="38"/>
      <c r="F14" s="39">
        <f>_xlfn.IFNA(VLOOKUP(C14&amp;D14&amp;E14,Sheet2!$A$1:$E$123,5,FALSE),0)</f>
      </c>
      <c r="G14" s="32"/>
      <c r="H14" s="33">
        <f ref="H14:H15" t="shared" si="0">+F14*G14</f>
        <v>0</v>
      </c>
    </row>
    <row r="15">
      <c r="A15" s="4"/>
      <c r="B15" s="3"/>
      <c r="C15" s="37"/>
      <c r="D15" s="37"/>
      <c r="E15" s="38"/>
      <c r="F15" s="39">
        <f>_xlfn.IFNA(VLOOKUP(C15&amp;D15&amp;E15,Sheet2!$A$1:$E$123,5,FALSE),0)</f>
      </c>
      <c r="G15" s="27"/>
      <c r="H15" s="28">
        <f t="shared" si="0"/>
        <v>0</v>
      </c>
    </row>
    <row r="16">
      <c r="A16" s="4"/>
      <c r="B16" s="3"/>
      <c r="C16" s="37"/>
      <c r="D16" s="37"/>
      <c r="E16" s="38"/>
      <c r="F16" s="39">
        <f>_xlfn.IFNA(VLOOKUP(C16&amp;D16&amp;E16,Sheet2!$A$1:$E$123,5,FALSE),0)</f>
      </c>
      <c r="G16" s="27"/>
      <c r="H16" s="28">
        <f ref="H16:H25" t="shared" si="1">+F16*G16</f>
        <v>0</v>
      </c>
    </row>
    <row r="17">
      <c r="A17" s="4"/>
      <c r="B17" s="3"/>
      <c r="C17" s="37"/>
      <c r="D17" s="37"/>
      <c r="E17" s="38"/>
      <c r="F17" s="39">
        <f>_xlfn.IFNA(VLOOKUP(C17&amp;D17&amp;E17,Sheet2!$A$1:$E$123,5,FALSE),0)</f>
      </c>
      <c r="G17" s="27"/>
      <c r="H17" s="28">
        <f t="shared" si="1"/>
        <v>0</v>
      </c>
    </row>
    <row r="18">
      <c r="A18" s="4"/>
      <c r="B18" s="3"/>
      <c r="C18" s="37"/>
      <c r="D18" s="37"/>
      <c r="E18" s="38"/>
      <c r="F18" s="39">
        <f>_xlfn.IFNA(VLOOKUP(C18&amp;D18&amp;E18,Sheet2!$A$1:$E$123,5,FALSE),0)</f>
      </c>
      <c r="G18" s="27"/>
      <c r="H18" s="28">
        <f t="shared" si="1"/>
        <v>0</v>
      </c>
    </row>
    <row r="19">
      <c r="A19" s="4"/>
      <c r="B19" s="3"/>
      <c r="C19" s="37"/>
      <c r="D19" s="37"/>
      <c r="E19" s="38"/>
      <c r="F19" s="39">
        <f>_xlfn.IFNA(VLOOKUP(C19&amp;D19&amp;E19,Sheet2!$A$1:$E$123,5,FALSE),0)</f>
      </c>
      <c r="G19" s="27"/>
      <c r="H19" s="28">
        <f t="shared" si="1"/>
        <v>0</v>
      </c>
    </row>
    <row r="20">
      <c r="A20" s="4"/>
      <c r="B20" s="3"/>
      <c r="C20" s="37"/>
      <c r="D20" s="37"/>
      <c r="E20" s="38"/>
      <c r="F20" s="39">
        <f>_xlfn.IFNA(VLOOKUP(C20&amp;D20&amp;E20,Sheet2!$A$1:$E$123,5,FALSE),0)</f>
      </c>
      <c r="G20" s="27"/>
      <c r="H20" s="28">
        <f t="shared" si="1"/>
        <v>0</v>
      </c>
    </row>
    <row r="21">
      <c r="A21" s="4"/>
      <c r="B21" s="3"/>
      <c r="C21" s="37"/>
      <c r="D21" s="37"/>
      <c r="E21" s="38"/>
      <c r="F21" s="39">
        <f>_xlfn.IFNA(VLOOKUP(C21&amp;D21&amp;E21,Sheet2!$A$1:$E$123,5,FALSE),0)</f>
      </c>
      <c r="G21" s="27"/>
      <c r="H21" s="28">
        <f t="shared" si="1"/>
        <v>0</v>
      </c>
    </row>
    <row r="22">
      <c r="A22" s="4"/>
      <c r="B22" s="3"/>
      <c r="C22" s="37"/>
      <c r="D22" s="37"/>
      <c r="E22" s="38"/>
      <c r="F22" s="39">
        <f>_xlfn.IFNA(VLOOKUP(C22&amp;D22&amp;E22,Sheet2!$A$1:$E$123,5,FALSE),0)</f>
      </c>
      <c r="G22" s="27"/>
      <c r="H22" s="28">
        <f t="shared" si="1"/>
        <v>0</v>
      </c>
    </row>
    <row r="23">
      <c r="A23" s="4"/>
      <c r="B23" s="3"/>
      <c r="C23" s="37"/>
      <c r="D23" s="37"/>
      <c r="E23" s="38"/>
      <c r="F23" s="39">
        <f>_xlfn.IFNA(VLOOKUP(C23&amp;D23&amp;E23,Sheet2!$A$1:$E$123,5,FALSE),0)</f>
      </c>
      <c r="G23" s="27"/>
      <c r="H23" s="28">
        <f t="shared" si="1"/>
        <v>0</v>
      </c>
    </row>
    <row r="24">
      <c r="A24" s="4"/>
      <c r="B24" s="3"/>
      <c r="C24" s="37"/>
      <c r="D24" s="37"/>
      <c r="E24" s="38"/>
      <c r="F24" s="39">
        <f>_xlfn.IFNA(VLOOKUP(C24&amp;D24&amp;E24,Sheet2!$A$1:$E$123,5,FALSE),0)</f>
      </c>
      <c r="G24" s="27"/>
      <c r="H24" s="28">
        <f t="shared" si="1"/>
        <v>0</v>
      </c>
    </row>
    <row r="25">
      <c r="A25" s="4"/>
      <c r="B25" s="3"/>
      <c r="C25" s="37"/>
      <c r="D25" s="37"/>
      <c r="E25" s="38"/>
      <c r="F25" s="39">
        <f>_xlfn.IFNA(VLOOKUP(C25&amp;D25&amp;E25,Sheet2!$A$1:$E$123,5,FALSE),0)</f>
      </c>
      <c r="G25" s="27"/>
      <c r="H25" s="28">
        <f t="shared" si="1"/>
        <v>0</v>
      </c>
    </row>
    <row r="26">
      <c r="A26" s="4"/>
      <c r="B26" s="3"/>
      <c r="C26" s="37"/>
      <c r="D26" s="37"/>
      <c r="E26" s="38"/>
      <c r="F26" s="39">
        <f>_xlfn.IFNA(VLOOKUP(C26&amp;D26&amp;E26,Sheet2!$A$1:$E$123,5,FALSE),0)</f>
      </c>
      <c r="G26" s="27"/>
      <c r="H26" s="28">
        <f ref="H26:H57" t="shared" si="2">+F26*G26</f>
        <v>0</v>
      </c>
    </row>
    <row r="27">
      <c r="A27" s="4"/>
      <c r="B27" s="3"/>
      <c r="C27" s="37"/>
      <c r="D27" s="37"/>
      <c r="E27" s="38"/>
      <c r="F27" s="39">
        <f>_xlfn.IFNA(VLOOKUP(C27&amp;D27&amp;E27,Sheet2!$A$1:$E$123,5,FALSE),0)</f>
      </c>
      <c r="G27" s="27"/>
      <c r="H27" s="28">
        <f t="shared" si="2"/>
        <v>0</v>
      </c>
    </row>
    <row r="28">
      <c r="A28" s="4"/>
      <c r="B28" s="3"/>
      <c r="C28" s="37"/>
      <c r="D28" s="37"/>
      <c r="E28" s="38"/>
      <c r="F28" s="39">
        <f>_xlfn.IFNA(VLOOKUP(C28&amp;D28&amp;E28,Sheet2!$A$1:$E$123,5,FALSE),0)</f>
      </c>
      <c r="G28" s="27"/>
      <c r="H28" s="28">
        <f t="shared" si="2"/>
        <v>0</v>
      </c>
    </row>
    <row r="29">
      <c r="A29" s="4"/>
      <c r="B29" s="3"/>
      <c r="C29" s="37"/>
      <c r="D29" s="37"/>
      <c r="E29" s="38"/>
      <c r="F29" s="39">
        <f>_xlfn.IFNA(VLOOKUP(C29&amp;D29&amp;E29,Sheet2!$A$1:$E$123,5,FALSE),0)</f>
      </c>
      <c r="G29" s="27"/>
      <c r="H29" s="28">
        <f t="shared" si="2"/>
        <v>0</v>
      </c>
    </row>
    <row r="30">
      <c r="A30" s="4"/>
      <c r="B30" s="3"/>
      <c r="C30" s="37"/>
      <c r="D30" s="37"/>
      <c r="E30" s="38"/>
      <c r="F30" s="39">
        <f>_xlfn.IFNA(VLOOKUP(C30&amp;D30&amp;E30,Sheet2!$A$1:$E$123,5,FALSE),0)</f>
      </c>
      <c r="G30" s="27"/>
      <c r="H30" s="28">
        <f t="shared" si="2"/>
        <v>0</v>
      </c>
    </row>
    <row r="31">
      <c r="A31" s="4"/>
      <c r="B31" s="3"/>
      <c r="C31" s="37"/>
      <c r="D31" s="37"/>
      <c r="E31" s="38"/>
      <c r="F31" s="39">
        <f>_xlfn.IFNA(VLOOKUP(C31&amp;D31&amp;E31,Sheet2!$A$1:$E$123,5,FALSE),0)</f>
      </c>
      <c r="G31" s="27"/>
      <c r="H31" s="28">
        <f t="shared" si="2"/>
        <v>0</v>
      </c>
    </row>
    <row r="32">
      <c r="A32" s="4"/>
      <c r="B32" s="3"/>
      <c r="C32" s="37"/>
      <c r="D32" s="37"/>
      <c r="E32" s="38"/>
      <c r="F32" s="39">
        <f>_xlfn.IFNA(VLOOKUP(C32&amp;D32&amp;E32,Sheet2!$A$1:$E$123,5,FALSE),0)</f>
      </c>
      <c r="G32" s="27"/>
      <c r="H32" s="28">
        <f t="shared" si="2"/>
        <v>0</v>
      </c>
    </row>
    <row r="33">
      <c r="A33" s="4"/>
      <c r="B33" s="3"/>
      <c r="C33" s="37"/>
      <c r="D33" s="37"/>
      <c r="E33" s="38"/>
      <c r="F33" s="39">
        <f>_xlfn.IFNA(VLOOKUP(C33&amp;D33&amp;E33,Sheet2!$A$1:$E$123,5,FALSE),0)</f>
      </c>
      <c r="G33" s="27"/>
      <c r="H33" s="28">
        <f t="shared" si="2"/>
        <v>0</v>
      </c>
    </row>
    <row r="34">
      <c r="A34" s="4"/>
      <c r="B34" s="3"/>
      <c r="C34" s="37"/>
      <c r="D34" s="37"/>
      <c r="E34" s="38"/>
      <c r="F34" s="39">
        <f>_xlfn.IFNA(VLOOKUP(C34&amp;D34&amp;E34,Sheet2!$A$1:$E$123,5,FALSE),0)</f>
      </c>
      <c r="G34" s="27"/>
      <c r="H34" s="28">
        <f t="shared" si="2"/>
        <v>0</v>
      </c>
    </row>
    <row r="35">
      <c r="A35" s="4"/>
      <c r="B35" s="3"/>
      <c r="C35" s="37"/>
      <c r="D35" s="37"/>
      <c r="E35" s="38"/>
      <c r="F35" s="39">
        <f>_xlfn.IFNA(VLOOKUP(C35&amp;D35&amp;E35,Sheet2!$A$1:$E$123,5,FALSE),0)</f>
      </c>
      <c r="G35" s="27"/>
      <c r="H35" s="28">
        <f t="shared" si="2"/>
        <v>0</v>
      </c>
    </row>
    <row r="36">
      <c r="A36" s="4"/>
      <c r="B36" s="3"/>
      <c r="C36" s="37"/>
      <c r="D36" s="37"/>
      <c r="E36" s="38"/>
      <c r="F36" s="39">
        <f>_xlfn.IFNA(VLOOKUP(C36&amp;D36&amp;E36,Sheet2!$A$1:$E$123,5,FALSE),0)</f>
      </c>
      <c r="G36" s="27"/>
      <c r="H36" s="28">
        <f t="shared" si="2"/>
        <v>0</v>
      </c>
    </row>
    <row r="37">
      <c r="A37" s="4"/>
      <c r="B37" s="3"/>
      <c r="C37" s="37"/>
      <c r="D37" s="37"/>
      <c r="E37" s="38"/>
      <c r="F37" s="39">
        <f>_xlfn.IFNA(VLOOKUP(C37&amp;D37&amp;E37,Sheet2!$A$1:$E$123,5,FALSE),0)</f>
      </c>
      <c r="G37" s="27"/>
      <c r="H37" s="28">
        <f t="shared" si="2"/>
        <v>0</v>
      </c>
    </row>
    <row r="38">
      <c r="A38" s="4"/>
      <c r="B38" s="3"/>
      <c r="C38" s="37"/>
      <c r="D38" s="37"/>
      <c r="E38" s="38"/>
      <c r="F38" s="39">
        <f>_xlfn.IFNA(VLOOKUP(C38&amp;D38&amp;E38,Sheet2!$A$1:$E$123,5,FALSE),0)</f>
      </c>
      <c r="G38" s="27"/>
      <c r="H38" s="28">
        <f t="shared" si="2"/>
        <v>0</v>
      </c>
    </row>
    <row r="39">
      <c r="A39" s="4"/>
      <c r="B39" s="3"/>
      <c r="C39" s="37"/>
      <c r="D39" s="37"/>
      <c r="E39" s="38"/>
      <c r="F39" s="39">
        <f>_xlfn.IFNA(VLOOKUP(C39&amp;D39&amp;E39,Sheet2!$A$1:$E$123,5,FALSE),0)</f>
      </c>
      <c r="G39" s="27"/>
      <c r="H39" s="28">
        <f t="shared" si="2"/>
        <v>0</v>
      </c>
    </row>
    <row r="40">
      <c r="A40" s="4"/>
      <c r="B40" s="3"/>
      <c r="C40" s="37"/>
      <c r="D40" s="37"/>
      <c r="E40" s="38"/>
      <c r="F40" s="39">
        <f>_xlfn.IFNA(VLOOKUP(C40&amp;D40&amp;E40,Sheet2!$A$1:$E$123,5,FALSE),0)</f>
      </c>
      <c r="G40" s="27"/>
      <c r="H40" s="28">
        <f t="shared" si="2"/>
        <v>0</v>
      </c>
    </row>
    <row r="41">
      <c r="A41" s="4"/>
      <c r="B41" s="3"/>
      <c r="C41" s="37"/>
      <c r="D41" s="37"/>
      <c r="E41" s="38"/>
      <c r="F41" s="39">
        <f>_xlfn.IFNA(VLOOKUP(C41&amp;D41&amp;E41,Sheet2!$A$1:$E$123,5,FALSE),0)</f>
      </c>
      <c r="G41" s="27"/>
      <c r="H41" s="28">
        <f t="shared" si="2"/>
        <v>0</v>
      </c>
    </row>
    <row r="42">
      <c r="A42" s="4"/>
      <c r="B42" s="3"/>
      <c r="C42" s="37"/>
      <c r="D42" s="37"/>
      <c r="E42" s="38"/>
      <c r="F42" s="39">
        <f>_xlfn.IFNA(VLOOKUP(C42&amp;D42&amp;E42,Sheet2!$A$1:$E$123,5,FALSE),0)</f>
      </c>
      <c r="G42" s="27"/>
      <c r="H42" s="28">
        <f t="shared" si="2"/>
        <v>0</v>
      </c>
    </row>
    <row r="43">
      <c r="A43" s="4"/>
      <c r="B43" s="3"/>
      <c r="C43" s="37"/>
      <c r="D43" s="37"/>
      <c r="E43" s="38"/>
      <c r="F43" s="39">
        <f>_xlfn.IFNA(VLOOKUP(C43&amp;D43&amp;E43,Sheet2!$A$1:$E$123,5,FALSE),0)</f>
      </c>
      <c r="G43" s="27"/>
      <c r="H43" s="28">
        <f t="shared" si="2"/>
        <v>0</v>
      </c>
    </row>
    <row r="44">
      <c r="A44" s="4"/>
      <c r="B44" s="3"/>
      <c r="C44" s="37"/>
      <c r="D44" s="37"/>
      <c r="E44" s="38"/>
      <c r="F44" s="39">
        <f>_xlfn.IFNA(VLOOKUP(C44&amp;D44&amp;E44,Sheet2!$A$1:$E$123,5,FALSE),0)</f>
      </c>
      <c r="G44" s="27"/>
      <c r="H44" s="28">
        <f t="shared" si="2"/>
        <v>0</v>
      </c>
    </row>
    <row r="45">
      <c r="A45" s="4"/>
      <c r="B45" s="3"/>
      <c r="C45" s="37"/>
      <c r="D45" s="37"/>
      <c r="E45" s="38"/>
      <c r="F45" s="39">
        <f>_xlfn.IFNA(VLOOKUP(C45&amp;D45&amp;E45,Sheet2!$A$1:$E$123,5,FALSE),0)</f>
      </c>
      <c r="G45" s="27"/>
      <c r="H45" s="28">
        <f t="shared" si="2"/>
        <v>0</v>
      </c>
    </row>
    <row r="46">
      <c r="A46" s="4"/>
      <c r="B46" s="3"/>
      <c r="C46" s="37"/>
      <c r="D46" s="37"/>
      <c r="E46" s="38"/>
      <c r="F46" s="39">
        <f>_xlfn.IFNA(VLOOKUP(C46&amp;D46&amp;E46,Sheet2!$A$1:$E$123,5,FALSE),0)</f>
      </c>
      <c r="G46" s="27"/>
      <c r="H46" s="28">
        <f t="shared" si="2"/>
        <v>0</v>
      </c>
    </row>
    <row r="47">
      <c r="A47" s="4"/>
      <c r="B47" s="3"/>
      <c r="C47" s="37"/>
      <c r="D47" s="37"/>
      <c r="E47" s="38"/>
      <c r="F47" s="39">
        <f>_xlfn.IFNA(VLOOKUP(C47&amp;D47&amp;E47,Sheet2!$A$1:$E$123,5,FALSE),0)</f>
      </c>
      <c r="G47" s="27"/>
      <c r="H47" s="28">
        <f t="shared" si="2"/>
        <v>0</v>
      </c>
    </row>
    <row r="48">
      <c r="A48" s="4"/>
      <c r="B48" s="3"/>
      <c r="C48" s="37"/>
      <c r="D48" s="37"/>
      <c r="E48" s="38"/>
      <c r="F48" s="39">
        <f>_xlfn.IFNA(VLOOKUP(C48&amp;D48&amp;E48,Sheet2!$A$1:$E$123,5,FALSE),0)</f>
      </c>
      <c r="G48" s="27"/>
      <c r="H48" s="28">
        <f t="shared" si="2"/>
        <v>0</v>
      </c>
    </row>
    <row r="49">
      <c r="A49" s="4"/>
      <c r="B49" s="3"/>
      <c r="C49" s="37"/>
      <c r="D49" s="37"/>
      <c r="E49" s="38"/>
      <c r="F49" s="39">
        <f>_xlfn.IFNA(VLOOKUP(C49&amp;D49&amp;E49,Sheet2!$A$1:$E$123,5,FALSE),0)</f>
      </c>
      <c r="G49" s="27"/>
      <c r="H49" s="28">
        <f t="shared" si="2"/>
        <v>0</v>
      </c>
    </row>
    <row r="50">
      <c r="A50" s="4"/>
      <c r="B50" s="3"/>
      <c r="C50" s="37"/>
      <c r="D50" s="37"/>
      <c r="E50" s="38"/>
      <c r="F50" s="39">
        <f>_xlfn.IFNA(VLOOKUP(C50&amp;D50&amp;E50,Sheet2!$A$1:$E$123,5,FALSE),0)</f>
      </c>
      <c r="G50" s="27"/>
      <c r="H50" s="28">
        <f t="shared" si="2"/>
        <v>0</v>
      </c>
    </row>
    <row r="51">
      <c r="A51" s="4"/>
      <c r="B51" s="3"/>
      <c r="C51" s="37"/>
      <c r="D51" s="37"/>
      <c r="E51" s="38"/>
      <c r="F51" s="39">
        <f>_xlfn.IFNA(VLOOKUP(C51&amp;D51&amp;E51,Sheet2!$A$1:$E$123,5,FALSE),0)</f>
      </c>
      <c r="G51" s="27"/>
      <c r="H51" s="28">
        <f t="shared" si="2"/>
        <v>0</v>
      </c>
    </row>
    <row r="52">
      <c r="A52" s="4"/>
      <c r="B52" s="3"/>
      <c r="C52" s="37"/>
      <c r="D52" s="37"/>
      <c r="E52" s="38"/>
      <c r="F52" s="39">
        <f>_xlfn.IFNA(VLOOKUP(C52&amp;D52&amp;E52,Sheet2!$A$1:$E$123,5,FALSE),0)</f>
      </c>
      <c r="G52" s="27"/>
      <c r="H52" s="28">
        <f t="shared" si="2"/>
        <v>0</v>
      </c>
    </row>
    <row r="53">
      <c r="A53" s="4"/>
      <c r="B53" s="3"/>
      <c r="C53" s="37"/>
      <c r="D53" s="37"/>
      <c r="E53" s="38"/>
      <c r="F53" s="39">
        <f>_xlfn.IFNA(VLOOKUP(C53&amp;D53&amp;E53,Sheet2!$A$1:$E$123,5,FALSE),0)</f>
      </c>
      <c r="G53" s="27"/>
      <c r="H53" s="28">
        <f t="shared" si="2"/>
        <v>0</v>
      </c>
    </row>
    <row r="54">
      <c r="A54" s="4"/>
      <c r="B54" s="3"/>
      <c r="C54" s="37"/>
      <c r="D54" s="37"/>
      <c r="E54" s="38"/>
      <c r="F54" s="39">
        <f>_xlfn.IFNA(VLOOKUP(C54&amp;D54&amp;E54,Sheet2!$A$1:$E$123,5,FALSE),0)</f>
      </c>
      <c r="G54" s="27"/>
      <c r="H54" s="28">
        <f t="shared" si="2"/>
        <v>0</v>
      </c>
    </row>
    <row r="55">
      <c r="A55" s="4"/>
      <c r="B55" s="3"/>
      <c r="C55" s="37"/>
      <c r="D55" s="37"/>
      <c r="E55" s="38"/>
      <c r="F55" s="39">
        <f>_xlfn.IFNA(VLOOKUP(C55&amp;D55&amp;E55,Sheet2!$A$1:$E$123,5,FALSE),0)</f>
      </c>
      <c r="G55" s="27"/>
      <c r="H55" s="28">
        <f t="shared" si="2"/>
        <v>0</v>
      </c>
    </row>
    <row r="56">
      <c r="A56" s="4"/>
      <c r="B56" s="3"/>
      <c r="C56" s="37"/>
      <c r="D56" s="37"/>
      <c r="E56" s="38"/>
      <c r="F56" s="39">
        <f>_xlfn.IFNA(VLOOKUP(C56&amp;D56&amp;E56,Sheet2!$A$1:$E$123,5,FALSE),0)</f>
      </c>
      <c r="G56" s="27"/>
      <c r="H56" s="28">
        <f t="shared" si="2"/>
        <v>0</v>
      </c>
    </row>
    <row r="57">
      <c r="A57" s="4"/>
      <c r="B57" s="3"/>
      <c r="C57" s="37"/>
      <c r="D57" s="37"/>
      <c r="E57" s="38"/>
      <c r="F57" s="39">
        <f>_xlfn.IFNA(VLOOKUP(C57&amp;D57&amp;E57,Sheet2!$A$1:$E$123,5,FALSE),0)</f>
      </c>
      <c r="G57" s="27"/>
      <c r="H57" s="28">
        <f t="shared" si="2"/>
        <v>0</v>
      </c>
    </row>
    <row r="58">
      <c r="A58" s="4"/>
      <c r="B58" s="3"/>
      <c r="C58" s="37"/>
      <c r="D58" s="37"/>
      <c r="E58" s="38"/>
      <c r="F58" s="39">
        <f>_xlfn.IFNA(VLOOKUP(C58&amp;D58&amp;E58,Sheet2!$A$1:$E$123,5,FALSE),0)</f>
      </c>
      <c r="G58" s="27"/>
      <c r="H58" s="28">
        <f ref="H58:H89" t="shared" si="3">+F58*G58</f>
        <v>0</v>
      </c>
    </row>
    <row r="59">
      <c r="A59" s="4"/>
      <c r="B59" s="3"/>
      <c r="C59" s="37"/>
      <c r="D59" s="37"/>
      <c r="E59" s="38"/>
      <c r="F59" s="39">
        <f>_xlfn.IFNA(VLOOKUP(C59&amp;D59&amp;E59,Sheet2!$A$1:$E$123,5,FALSE),0)</f>
      </c>
      <c r="G59" s="27"/>
      <c r="H59" s="28">
        <f t="shared" si="3"/>
        <v>0</v>
      </c>
    </row>
    <row r="60">
      <c r="A60" s="4"/>
      <c r="B60" s="3"/>
      <c r="C60" s="37"/>
      <c r="D60" s="37"/>
      <c r="E60" s="38"/>
      <c r="F60" s="39">
        <f>_xlfn.IFNA(VLOOKUP(C60&amp;D60&amp;E60,Sheet2!$A$1:$E$123,5,FALSE),0)</f>
      </c>
      <c r="G60" s="27"/>
      <c r="H60" s="28">
        <f t="shared" si="3"/>
        <v>0</v>
      </c>
    </row>
    <row r="61">
      <c r="A61" s="4"/>
      <c r="B61" s="3"/>
      <c r="C61" s="37"/>
      <c r="D61" s="37"/>
      <c r="E61" s="38"/>
      <c r="F61" s="39">
        <f>_xlfn.IFNA(VLOOKUP(C61&amp;D61&amp;E61,Sheet2!$A$1:$E$123,5,FALSE),0)</f>
      </c>
      <c r="G61" s="27"/>
      <c r="H61" s="28">
        <f t="shared" si="3"/>
        <v>0</v>
      </c>
    </row>
    <row r="62">
      <c r="A62" s="4"/>
      <c r="B62" s="3"/>
      <c r="C62" s="37"/>
      <c r="D62" s="37"/>
      <c r="E62" s="38"/>
      <c r="F62" s="39">
        <f>_xlfn.IFNA(VLOOKUP(C62&amp;D62&amp;E62,Sheet2!$A$1:$E$123,5,FALSE),0)</f>
      </c>
      <c r="G62" s="27"/>
      <c r="H62" s="28">
        <f t="shared" si="3"/>
        <v>0</v>
      </c>
    </row>
    <row r="63">
      <c r="A63" s="4"/>
      <c r="B63" s="3"/>
      <c r="C63" s="37"/>
      <c r="D63" s="37"/>
      <c r="E63" s="38"/>
      <c r="F63" s="39">
        <f>_xlfn.IFNA(VLOOKUP(C63&amp;D63&amp;E63,Sheet2!$A$1:$E$123,5,FALSE),0)</f>
      </c>
      <c r="G63" s="27"/>
      <c r="H63" s="28">
        <f t="shared" si="3"/>
        <v>0</v>
      </c>
    </row>
    <row r="64">
      <c r="A64" s="4"/>
      <c r="B64" s="3"/>
      <c r="C64" s="37"/>
      <c r="D64" s="37"/>
      <c r="E64" s="38"/>
      <c r="F64" s="39">
        <f>_xlfn.IFNA(VLOOKUP(C64&amp;D64&amp;E64,Sheet2!$A$1:$E$123,5,FALSE),0)</f>
      </c>
      <c r="G64" s="27"/>
      <c r="H64" s="28">
        <f t="shared" si="3"/>
        <v>0</v>
      </c>
    </row>
    <row r="65">
      <c r="A65" s="4"/>
      <c r="B65" s="3"/>
      <c r="C65" s="37"/>
      <c r="D65" s="37"/>
      <c r="E65" s="38"/>
      <c r="F65" s="39">
        <f>_xlfn.IFNA(VLOOKUP(C65&amp;D65&amp;E65,Sheet2!$A$1:$E$123,5,FALSE),0)</f>
      </c>
      <c r="G65" s="27"/>
      <c r="H65" s="28">
        <f t="shared" si="3"/>
        <v>0</v>
      </c>
    </row>
    <row r="66">
      <c r="A66" s="4"/>
      <c r="B66" s="3"/>
      <c r="C66" s="37"/>
      <c r="D66" s="37"/>
      <c r="E66" s="38"/>
      <c r="F66" s="39">
        <f>_xlfn.IFNA(VLOOKUP(C66&amp;D66&amp;E66,Sheet2!$A$1:$E$123,5,FALSE),0)</f>
      </c>
      <c r="G66" s="27"/>
      <c r="H66" s="28">
        <f t="shared" si="3"/>
        <v>0</v>
      </c>
    </row>
    <row r="67">
      <c r="A67" s="4"/>
      <c r="B67" s="3"/>
      <c r="C67" s="37"/>
      <c r="D67" s="37"/>
      <c r="E67" s="38"/>
      <c r="F67" s="39">
        <f>_xlfn.IFNA(VLOOKUP(C67&amp;D67&amp;E67,Sheet2!$A$1:$E$123,5,FALSE),0)</f>
      </c>
      <c r="G67" s="27"/>
      <c r="H67" s="28">
        <f t="shared" si="3"/>
        <v>0</v>
      </c>
    </row>
    <row r="68">
      <c r="A68" s="4"/>
      <c r="B68" s="3"/>
      <c r="C68" s="37"/>
      <c r="D68" s="37"/>
      <c r="E68" s="38"/>
      <c r="F68" s="39">
        <f>_xlfn.IFNA(VLOOKUP(C68&amp;D68&amp;E68,Sheet2!$A$1:$E$123,5,FALSE),0)</f>
      </c>
      <c r="G68" s="27"/>
      <c r="H68" s="28">
        <f t="shared" si="3"/>
        <v>0</v>
      </c>
    </row>
    <row r="69">
      <c r="A69" s="4"/>
      <c r="B69" s="3"/>
      <c r="C69" s="37"/>
      <c r="D69" s="37"/>
      <c r="E69" s="38"/>
      <c r="F69" s="39">
        <f>_xlfn.IFNA(VLOOKUP(C69&amp;D69&amp;E69,Sheet2!$A$1:$E$123,5,FALSE),0)</f>
      </c>
      <c r="G69" s="27"/>
      <c r="H69" s="28">
        <f t="shared" si="3"/>
        <v>0</v>
      </c>
    </row>
    <row r="70">
      <c r="A70" s="4"/>
      <c r="B70" s="3"/>
      <c r="C70" s="37"/>
      <c r="D70" s="37"/>
      <c r="E70" s="38"/>
      <c r="F70" s="39">
        <f>_xlfn.IFNA(VLOOKUP(C70&amp;D70&amp;E70,Sheet2!$A$1:$E$123,5,FALSE),0)</f>
      </c>
      <c r="G70" s="27"/>
      <c r="H70" s="28">
        <f t="shared" si="3"/>
        <v>0</v>
      </c>
    </row>
    <row r="71">
      <c r="A71" s="4"/>
      <c r="B71" s="3"/>
      <c r="C71" s="37"/>
      <c r="D71" s="37"/>
      <c r="E71" s="38"/>
      <c r="F71" s="39">
        <f>_xlfn.IFNA(VLOOKUP(C71&amp;D71&amp;E71,Sheet2!$A$1:$E$123,5,FALSE),0)</f>
      </c>
      <c r="G71" s="27"/>
      <c r="H71" s="28">
        <f t="shared" si="3"/>
        <v>0</v>
      </c>
    </row>
    <row r="72">
      <c r="A72" s="4"/>
      <c r="B72" s="3"/>
      <c r="C72" s="37"/>
      <c r="D72" s="37"/>
      <c r="E72" s="38"/>
      <c r="F72" s="39">
        <f>_xlfn.IFNA(VLOOKUP(C72&amp;D72&amp;E72,Sheet2!$A$1:$E$123,5,FALSE),0)</f>
      </c>
      <c r="G72" s="27"/>
      <c r="H72" s="28">
        <f t="shared" si="3"/>
        <v>0</v>
      </c>
    </row>
    <row r="73">
      <c r="A73" s="4"/>
      <c r="B73" s="3"/>
      <c r="C73" s="37"/>
      <c r="D73" s="37"/>
      <c r="E73" s="38"/>
      <c r="F73" s="39">
        <f>_xlfn.IFNA(VLOOKUP(C73&amp;D73&amp;E73,Sheet2!$A$1:$E$123,5,FALSE),0)</f>
      </c>
      <c r="G73" s="27"/>
      <c r="H73" s="28">
        <f t="shared" si="3"/>
        <v>0</v>
      </c>
    </row>
    <row r="74">
      <c r="A74" s="4"/>
      <c r="B74" s="3"/>
      <c r="C74" s="37"/>
      <c r="D74" s="37"/>
      <c r="E74" s="38"/>
      <c r="F74" s="39">
        <f>_xlfn.IFNA(VLOOKUP(C74&amp;D74&amp;E74,Sheet2!$A$1:$E$123,5,FALSE),0)</f>
      </c>
      <c r="G74" s="27"/>
      <c r="H74" s="28">
        <f t="shared" si="3"/>
        <v>0</v>
      </c>
    </row>
    <row r="75">
      <c r="A75" s="4"/>
      <c r="B75" s="3"/>
      <c r="C75" s="37"/>
      <c r="D75" s="37"/>
      <c r="E75" s="38"/>
      <c r="F75" s="39">
        <f>_xlfn.IFNA(VLOOKUP(C75&amp;D75&amp;E75,Sheet2!$A$1:$E$123,5,FALSE),0)</f>
      </c>
      <c r="G75" s="27"/>
      <c r="H75" s="28">
        <f t="shared" si="3"/>
        <v>0</v>
      </c>
    </row>
    <row r="76">
      <c r="A76" s="4"/>
      <c r="B76" s="3"/>
      <c r="C76" s="37"/>
      <c r="D76" s="37"/>
      <c r="E76" s="38"/>
      <c r="F76" s="39">
        <f>_xlfn.IFNA(VLOOKUP(C76&amp;D76&amp;E76,Sheet2!$A$1:$E$123,5,FALSE),0)</f>
      </c>
      <c r="G76" s="27"/>
      <c r="H76" s="28">
        <f t="shared" si="3"/>
        <v>0</v>
      </c>
    </row>
    <row r="77">
      <c r="A77" s="4"/>
      <c r="B77" s="3"/>
      <c r="C77" s="37"/>
      <c r="D77" s="37"/>
      <c r="E77" s="38"/>
      <c r="F77" s="39">
        <f>_xlfn.IFNA(VLOOKUP(C77&amp;D77&amp;E77,Sheet2!$A$1:$E$123,5,FALSE),0)</f>
      </c>
      <c r="G77" s="27"/>
      <c r="H77" s="28">
        <f t="shared" si="3"/>
        <v>0</v>
      </c>
    </row>
    <row r="78">
      <c r="A78" s="4"/>
      <c r="B78" s="3"/>
      <c r="C78" s="37"/>
      <c r="D78" s="37"/>
      <c r="E78" s="38"/>
      <c r="F78" s="39">
        <f>_xlfn.IFNA(VLOOKUP(C78&amp;D78&amp;E78,Sheet2!$A$1:$E$123,5,FALSE),0)</f>
      </c>
      <c r="G78" s="27"/>
      <c r="H78" s="28">
        <f t="shared" si="3"/>
        <v>0</v>
      </c>
    </row>
    <row r="79">
      <c r="A79" s="4"/>
      <c r="B79" s="3"/>
      <c r="C79" s="37"/>
      <c r="D79" s="37"/>
      <c r="E79" s="38"/>
      <c r="F79" s="39">
        <f>_xlfn.IFNA(VLOOKUP(C79&amp;D79&amp;E79,Sheet2!$A$1:$E$123,5,FALSE),0)</f>
      </c>
      <c r="G79" s="27"/>
      <c r="H79" s="28">
        <f t="shared" si="3"/>
        <v>0</v>
      </c>
    </row>
    <row r="80">
      <c r="A80" s="4"/>
      <c r="B80" s="3"/>
      <c r="C80" s="37"/>
      <c r="D80" s="37"/>
      <c r="E80" s="38"/>
      <c r="F80" s="39">
        <f>_xlfn.IFNA(VLOOKUP(C80&amp;D80&amp;E80,Sheet2!$A$1:$E$123,5,FALSE),0)</f>
      </c>
      <c r="G80" s="27"/>
      <c r="H80" s="28">
        <f t="shared" si="3"/>
        <v>0</v>
      </c>
    </row>
    <row r="81">
      <c r="A81" s="4"/>
      <c r="B81" s="3"/>
      <c r="C81" s="37"/>
      <c r="D81" s="37"/>
      <c r="E81" s="38"/>
      <c r="F81" s="39">
        <f>_xlfn.IFNA(VLOOKUP(C81&amp;D81&amp;E81,Sheet2!$A$1:$E$123,5,FALSE),0)</f>
      </c>
      <c r="G81" s="27"/>
      <c r="H81" s="28">
        <f t="shared" si="3"/>
        <v>0</v>
      </c>
    </row>
    <row r="82">
      <c r="A82" s="4"/>
      <c r="B82" s="3"/>
      <c r="C82" s="37"/>
      <c r="D82" s="37"/>
      <c r="E82" s="38"/>
      <c r="F82" s="39">
        <f>_xlfn.IFNA(VLOOKUP(C82&amp;D82&amp;E82,Sheet2!$A$1:$E$123,5,FALSE),0)</f>
      </c>
      <c r="G82" s="27"/>
      <c r="H82" s="28">
        <f t="shared" si="3"/>
        <v>0</v>
      </c>
    </row>
    <row r="83">
      <c r="A83" s="4"/>
      <c r="B83" s="3"/>
      <c r="C83" s="37"/>
      <c r="D83" s="37"/>
      <c r="E83" s="38"/>
      <c r="F83" s="39">
        <f>_xlfn.IFNA(VLOOKUP(C83&amp;D83&amp;E83,Sheet2!$A$1:$E$123,5,FALSE),0)</f>
      </c>
      <c r="G83" s="27"/>
      <c r="H83" s="28">
        <f t="shared" si="3"/>
        <v>0</v>
      </c>
    </row>
    <row r="84">
      <c r="A84" s="4"/>
      <c r="B84" s="3"/>
      <c r="C84" s="37"/>
      <c r="D84" s="37"/>
      <c r="E84" s="38"/>
      <c r="F84" s="39">
        <f>_xlfn.IFNA(VLOOKUP(C84&amp;D84&amp;E84,Sheet2!$A$1:$E$123,5,FALSE),0)</f>
      </c>
      <c r="G84" s="27"/>
      <c r="H84" s="28">
        <f t="shared" si="3"/>
        <v>0</v>
      </c>
    </row>
    <row r="85">
      <c r="A85" s="4"/>
      <c r="B85" s="3"/>
      <c r="C85" s="37"/>
      <c r="D85" s="37"/>
      <c r="E85" s="38"/>
      <c r="F85" s="39">
        <f>_xlfn.IFNA(VLOOKUP(C85&amp;D85&amp;E85,Sheet2!$A$1:$E$123,5,FALSE),0)</f>
      </c>
      <c r="G85" s="27"/>
      <c r="H85" s="28">
        <f t="shared" si="3"/>
        <v>0</v>
      </c>
    </row>
    <row r="86">
      <c r="A86" s="4"/>
      <c r="B86" s="3"/>
      <c r="C86" s="37"/>
      <c r="D86" s="37"/>
      <c r="E86" s="38"/>
      <c r="F86" s="39">
        <f>_xlfn.IFNA(VLOOKUP(C86&amp;D86&amp;E86,Sheet2!$A$1:$E$123,5,FALSE),0)</f>
      </c>
      <c r="G86" s="27"/>
      <c r="H86" s="28">
        <f t="shared" si="3"/>
        <v>0</v>
      </c>
    </row>
    <row r="87">
      <c r="A87" s="4"/>
      <c r="B87" s="3"/>
      <c r="C87" s="37"/>
      <c r="D87" s="37"/>
      <c r="E87" s="38"/>
      <c r="F87" s="39">
        <f>_xlfn.IFNA(VLOOKUP(C87&amp;D87&amp;E87,Sheet2!$A$1:$E$123,5,FALSE),0)</f>
      </c>
      <c r="G87" s="27"/>
      <c r="H87" s="28">
        <f t="shared" si="3"/>
        <v>0</v>
      </c>
    </row>
    <row r="88">
      <c r="A88" s="4"/>
      <c r="B88" s="3"/>
      <c r="C88" s="37"/>
      <c r="D88" s="37"/>
      <c r="E88" s="38"/>
      <c r="F88" s="39">
        <f>_xlfn.IFNA(VLOOKUP(C88&amp;D88&amp;E88,Sheet2!$A$1:$E$123,5,FALSE),0)</f>
      </c>
      <c r="G88" s="27"/>
      <c r="H88" s="28">
        <f t="shared" si="3"/>
        <v>0</v>
      </c>
    </row>
    <row r="89">
      <c r="A89" s="4"/>
      <c r="B89" s="3"/>
      <c r="C89" s="37"/>
      <c r="D89" s="37"/>
      <c r="E89" s="38"/>
      <c r="F89" s="39">
        <f>_xlfn.IFNA(VLOOKUP(C89&amp;D89&amp;E89,Sheet2!$A$1:$E$123,5,FALSE),0)</f>
      </c>
      <c r="G89" s="27"/>
      <c r="H89" s="28">
        <f t="shared" si="3"/>
        <v>0</v>
      </c>
    </row>
    <row r="90">
      <c r="A90" s="4"/>
      <c r="B90" s="3"/>
      <c r="C90" s="37"/>
      <c r="D90" s="37"/>
      <c r="E90" s="38"/>
      <c r="F90" s="39">
        <f>_xlfn.IFNA(VLOOKUP(C90&amp;D90&amp;E90,Sheet2!$A$1:$E$123,5,FALSE),0)</f>
      </c>
      <c r="G90" s="27"/>
      <c r="H90" s="28">
        <f ref="H90:H101" t="shared" si="4">+F90*G90</f>
        <v>0</v>
      </c>
    </row>
    <row r="91">
      <c r="A91" s="4"/>
      <c r="B91" s="3"/>
      <c r="C91" s="37"/>
      <c r="D91" s="37"/>
      <c r="E91" s="38"/>
      <c r="F91" s="39">
        <f>_xlfn.IFNA(VLOOKUP(C91&amp;D91&amp;E91,Sheet2!$A$1:$E$123,5,FALSE),0)</f>
      </c>
      <c r="G91" s="27"/>
      <c r="H91" s="28">
        <f t="shared" si="4"/>
        <v>0</v>
      </c>
    </row>
    <row r="92">
      <c r="A92" s="4"/>
      <c r="B92" s="3"/>
      <c r="C92" s="37"/>
      <c r="D92" s="37"/>
      <c r="E92" s="38"/>
      <c r="F92" s="39">
        <f>_xlfn.IFNA(VLOOKUP(C92&amp;D92&amp;E92,Sheet2!$A$1:$E$123,5,FALSE),0)</f>
      </c>
      <c r="G92" s="27"/>
      <c r="H92" s="28">
        <f t="shared" si="4"/>
        <v>0</v>
      </c>
    </row>
    <row r="93">
      <c r="A93" s="4"/>
      <c r="B93" s="3"/>
      <c r="C93" s="37"/>
      <c r="D93" s="37"/>
      <c r="E93" s="38"/>
      <c r="F93" s="39">
        <f>_xlfn.IFNA(VLOOKUP(C93&amp;D93&amp;E93,Sheet2!$A$1:$E$123,5,FALSE),0)</f>
      </c>
      <c r="G93" s="27"/>
      <c r="H93" s="28">
        <f t="shared" si="4"/>
        <v>0</v>
      </c>
    </row>
    <row r="94">
      <c r="A94" s="4"/>
      <c r="B94" s="3"/>
      <c r="C94" s="37"/>
      <c r="D94" s="37"/>
      <c r="E94" s="38"/>
      <c r="F94" s="39">
        <f>_xlfn.IFNA(VLOOKUP(C94&amp;D94&amp;E94,Sheet2!$A$1:$E$123,5,FALSE),0)</f>
      </c>
      <c r="G94" s="27"/>
      <c r="H94" s="28">
        <f t="shared" si="4"/>
        <v>0</v>
      </c>
    </row>
    <row r="95">
      <c r="A95" s="4"/>
      <c r="B95" s="3"/>
      <c r="C95" s="37"/>
      <c r="D95" s="37"/>
      <c r="E95" s="38"/>
      <c r="F95" s="39">
        <f>_xlfn.IFNA(VLOOKUP(C95&amp;D95&amp;E95,Sheet2!$A$1:$E$123,5,FALSE),0)</f>
      </c>
      <c r="G95" s="27"/>
      <c r="H95" s="28">
        <f t="shared" si="4"/>
        <v>0</v>
      </c>
    </row>
    <row r="96">
      <c r="A96" s="4"/>
      <c r="B96" s="3"/>
      <c r="C96" s="37"/>
      <c r="D96" s="37"/>
      <c r="E96" s="38"/>
      <c r="F96" s="39">
        <f>_xlfn.IFNA(VLOOKUP(C96&amp;D96&amp;E96,Sheet2!$A$1:$E$123,5,FALSE),0)</f>
      </c>
      <c r="G96" s="27"/>
      <c r="H96" s="28">
        <f t="shared" si="4"/>
        <v>0</v>
      </c>
    </row>
    <row r="97">
      <c r="A97" s="4"/>
      <c r="B97" s="3"/>
      <c r="C97" s="37"/>
      <c r="D97" s="37"/>
      <c r="E97" s="38"/>
      <c r="F97" s="39">
        <f>_xlfn.IFNA(VLOOKUP(C97&amp;D97&amp;E97,Sheet2!$A$1:$E$123,5,FALSE),0)</f>
      </c>
      <c r="G97" s="27"/>
      <c r="H97" s="28">
        <f t="shared" si="4"/>
        <v>0</v>
      </c>
    </row>
    <row r="98">
      <c r="A98" s="4"/>
      <c r="B98" s="3"/>
      <c r="C98" s="37"/>
      <c r="D98" s="37"/>
      <c r="E98" s="38"/>
      <c r="F98" s="39">
        <f>_xlfn.IFNA(VLOOKUP(C98&amp;D98&amp;E98,Sheet2!$A$1:$E$123,5,FALSE),0)</f>
      </c>
      <c r="G98" s="27"/>
      <c r="H98" s="28">
        <f t="shared" si="4"/>
        <v>0</v>
      </c>
    </row>
    <row r="99">
      <c r="A99" s="4"/>
      <c r="B99" s="3"/>
      <c r="C99" s="37"/>
      <c r="D99" s="37"/>
      <c r="E99" s="38"/>
      <c r="F99" s="39">
        <f>_xlfn.IFNA(VLOOKUP(C99&amp;D99&amp;E99,Sheet2!$A$1:$E$123,5,FALSE),0)</f>
      </c>
      <c r="G99" s="27"/>
      <c r="H99" s="28">
        <f t="shared" si="4"/>
        <v>0</v>
      </c>
    </row>
    <row r="100">
      <c r="A100" s="4"/>
      <c r="B100" s="3"/>
      <c r="C100" s="37"/>
      <c r="D100" s="37"/>
      <c r="E100" s="38"/>
      <c r="F100" s="39">
        <f>_xlfn.IFNA(VLOOKUP(C100&amp;D100&amp;E100,Sheet2!$A$1:$E$123,5,FALSE),0)</f>
      </c>
      <c r="G100" s="27"/>
      <c r="H100" s="28">
        <f t="shared" si="4"/>
        <v>0</v>
      </c>
    </row>
    <row r="101">
      <c r="A101" s="4"/>
      <c r="B101" s="3"/>
      <c r="C101" s="37"/>
      <c r="D101" s="37"/>
      <c r="E101" s="38"/>
      <c r="F101" s="39">
        <f>_xlfn.IFNA(VLOOKUP(C101&amp;D101&amp;E101,Sheet2!$A$1:$E$123,5,FALSE),0)</f>
      </c>
      <c r="G101" s="27"/>
      <c r="H101" s="28">
        <f t="shared" si="4"/>
        <v>0</v>
      </c>
    </row>
    <row r="102">
      <c r="A102" s="4"/>
      <c r="B102" s="3"/>
      <c r="C102" s="37"/>
      <c r="D102" s="37"/>
      <c r="E102" s="38"/>
      <c r="F102" s="39">
        <f>_xlfn.IFNA(VLOOKUP(C102&amp;D102&amp;E102,Sheet2!$A$1:$E$123,5,FALSE),0)</f>
      </c>
      <c r="G102" s="27"/>
      <c r="H102" s="28">
        <f ref="H102:H133" t="shared" si="5">+F102*G102</f>
        <v>0</v>
      </c>
    </row>
    <row r="103">
      <c r="A103" s="4"/>
      <c r="B103" s="3"/>
      <c r="C103" s="37"/>
      <c r="D103" s="37"/>
      <c r="E103" s="38"/>
      <c r="F103" s="39">
        <f>_xlfn.IFNA(VLOOKUP(C103&amp;D103&amp;E103,Sheet2!$A$1:$E$123,5,FALSE),0)</f>
      </c>
      <c r="G103" s="27"/>
      <c r="H103" s="28">
        <f t="shared" si="5"/>
        <v>0</v>
      </c>
    </row>
    <row r="104">
      <c r="A104" s="4"/>
      <c r="B104" s="3"/>
      <c r="C104" s="37"/>
      <c r="D104" s="37"/>
      <c r="E104" s="38"/>
      <c r="F104" s="39">
        <f>_xlfn.IFNA(VLOOKUP(C104&amp;D104&amp;E104,Sheet2!$A$1:$E$123,5,FALSE),0)</f>
      </c>
      <c r="G104" s="27"/>
      <c r="H104" s="28">
        <f t="shared" si="5"/>
        <v>0</v>
      </c>
    </row>
    <row r="105">
      <c r="A105" s="4"/>
      <c r="B105" s="3"/>
      <c r="C105" s="37"/>
      <c r="D105" s="37"/>
      <c r="E105" s="38"/>
      <c r="F105" s="39">
        <f>_xlfn.IFNA(VLOOKUP(C105&amp;D105&amp;E105,Sheet2!$A$1:$E$123,5,FALSE),0)</f>
      </c>
      <c r="G105" s="27"/>
      <c r="H105" s="28">
        <f t="shared" si="5"/>
        <v>0</v>
      </c>
    </row>
    <row r="106">
      <c r="A106" s="4"/>
      <c r="B106" s="3"/>
      <c r="C106" s="37"/>
      <c r="D106" s="37"/>
      <c r="E106" s="38"/>
      <c r="F106" s="39">
        <f>_xlfn.IFNA(VLOOKUP(C106&amp;D106&amp;E106,Sheet2!$A$1:$E$123,5,FALSE),0)</f>
      </c>
      <c r="G106" s="27"/>
      <c r="H106" s="28">
        <f t="shared" si="5"/>
        <v>0</v>
      </c>
    </row>
    <row r="107">
      <c r="A107" s="4"/>
      <c r="B107" s="3"/>
      <c r="C107" s="37"/>
      <c r="D107" s="37"/>
      <c r="E107" s="38"/>
      <c r="F107" s="39">
        <f>_xlfn.IFNA(VLOOKUP(C107&amp;D107&amp;E107,Sheet2!$A$1:$E$123,5,FALSE),0)</f>
      </c>
      <c r="G107" s="27"/>
      <c r="H107" s="28">
        <f t="shared" si="5"/>
        <v>0</v>
      </c>
    </row>
    <row r="108">
      <c r="A108" s="4"/>
      <c r="B108" s="3"/>
      <c r="C108" s="37"/>
      <c r="D108" s="37"/>
      <c r="E108" s="38"/>
      <c r="F108" s="39">
        <f>_xlfn.IFNA(VLOOKUP(C108&amp;D108&amp;E108,Sheet2!$A$1:$E$123,5,FALSE),0)</f>
      </c>
      <c r="G108" s="27"/>
      <c r="H108" s="28">
        <f t="shared" si="5"/>
        <v>0</v>
      </c>
    </row>
    <row r="109">
      <c r="A109" s="4"/>
      <c r="B109" s="3"/>
      <c r="C109" s="37"/>
      <c r="D109" s="37"/>
      <c r="E109" s="38"/>
      <c r="F109" s="39">
        <f>_xlfn.IFNA(VLOOKUP(C109&amp;D109&amp;E109,Sheet2!$A$1:$E$123,5,FALSE),0)</f>
      </c>
      <c r="G109" s="27"/>
      <c r="H109" s="28">
        <f t="shared" si="5"/>
        <v>0</v>
      </c>
    </row>
    <row r="110">
      <c r="A110" s="4"/>
      <c r="B110" s="3"/>
      <c r="C110" s="37"/>
      <c r="D110" s="37"/>
      <c r="E110" s="38"/>
      <c r="F110" s="39">
        <f>_xlfn.IFNA(VLOOKUP(C110&amp;D110&amp;E110,Sheet2!$A$1:$E$123,5,FALSE),0)</f>
      </c>
      <c r="G110" s="27"/>
      <c r="H110" s="28">
        <f t="shared" si="5"/>
        <v>0</v>
      </c>
    </row>
    <row r="111">
      <c r="A111" s="4"/>
      <c r="B111" s="3"/>
      <c r="C111" s="37"/>
      <c r="D111" s="37"/>
      <c r="E111" s="38"/>
      <c r="F111" s="39">
        <f>_xlfn.IFNA(VLOOKUP(C111&amp;D111&amp;E111,Sheet2!$A$1:$E$123,5,FALSE),0)</f>
      </c>
      <c r="G111" s="27"/>
      <c r="H111" s="28">
        <f t="shared" si="5"/>
        <v>0</v>
      </c>
    </row>
    <row r="112">
      <c r="A112" s="4"/>
      <c r="B112" s="3"/>
      <c r="C112" s="37"/>
      <c r="D112" s="37"/>
      <c r="E112" s="38"/>
      <c r="F112" s="39">
        <f>_xlfn.IFNA(VLOOKUP(C112&amp;D112&amp;E112,Sheet2!$A$1:$E$123,5,FALSE),0)</f>
      </c>
      <c r="G112" s="27"/>
      <c r="H112" s="28">
        <f t="shared" si="5"/>
        <v>0</v>
      </c>
    </row>
    <row r="113">
      <c r="A113" s="4"/>
      <c r="B113" s="3"/>
      <c r="C113" s="37"/>
      <c r="D113" s="37"/>
      <c r="E113" s="38"/>
      <c r="F113" s="39">
        <f>_xlfn.IFNA(VLOOKUP(C113&amp;D113&amp;E113,Sheet2!$A$1:$E$123,5,FALSE),0)</f>
      </c>
      <c r="G113" s="27"/>
      <c r="H113" s="28">
        <f t="shared" si="5"/>
        <v>0</v>
      </c>
    </row>
    <row r="114">
      <c r="A114" s="4"/>
      <c r="B114" s="3"/>
      <c r="C114" s="37"/>
      <c r="D114" s="37"/>
      <c r="E114" s="38"/>
      <c r="F114" s="39">
        <f>_xlfn.IFNA(VLOOKUP(C114&amp;D114&amp;E114,Sheet2!$A$1:$E$123,5,FALSE),0)</f>
      </c>
      <c r="G114" s="27"/>
      <c r="H114" s="28">
        <f t="shared" si="5"/>
        <v>0</v>
      </c>
    </row>
    <row r="115">
      <c r="A115" s="4"/>
      <c r="B115" s="3"/>
      <c r="C115" s="37"/>
      <c r="D115" s="37"/>
      <c r="E115" s="38"/>
      <c r="F115" s="39">
        <f>_xlfn.IFNA(VLOOKUP(C115&amp;D115&amp;E115,Sheet2!$A$1:$E$123,5,FALSE),0)</f>
      </c>
      <c r="G115" s="27"/>
      <c r="H115" s="28">
        <f t="shared" si="5"/>
        <v>0</v>
      </c>
    </row>
    <row r="116">
      <c r="A116" s="4"/>
      <c r="B116" s="3"/>
      <c r="C116" s="37"/>
      <c r="D116" s="37"/>
      <c r="E116" s="38"/>
      <c r="F116" s="39">
        <f>_xlfn.IFNA(VLOOKUP(C116&amp;D116&amp;E116,Sheet2!$A$1:$E$123,5,FALSE),0)</f>
      </c>
      <c r="G116" s="27"/>
      <c r="H116" s="28">
        <f t="shared" si="5"/>
        <v>0</v>
      </c>
    </row>
    <row r="117">
      <c r="A117" s="4"/>
      <c r="B117" s="3"/>
      <c r="C117" s="37"/>
      <c r="D117" s="37"/>
      <c r="E117" s="38"/>
      <c r="F117" s="39">
        <f>_xlfn.IFNA(VLOOKUP(C117&amp;D117&amp;E117,Sheet2!$A$1:$E$123,5,FALSE),0)</f>
      </c>
      <c r="G117" s="27"/>
      <c r="H117" s="28">
        <f t="shared" si="5"/>
        <v>0</v>
      </c>
    </row>
    <row r="118">
      <c r="A118" s="4"/>
      <c r="B118" s="3"/>
      <c r="C118" s="37"/>
      <c r="D118" s="37"/>
      <c r="E118" s="38"/>
      <c r="F118" s="39">
        <f>_xlfn.IFNA(VLOOKUP(C118&amp;D118&amp;E118,Sheet2!$A$1:$E$123,5,FALSE),0)</f>
      </c>
      <c r="G118" s="27"/>
      <c r="H118" s="28">
        <f t="shared" si="5"/>
        <v>0</v>
      </c>
    </row>
    <row r="119">
      <c r="A119" s="4"/>
      <c r="B119" s="3"/>
      <c r="C119" s="37"/>
      <c r="D119" s="37"/>
      <c r="E119" s="38"/>
      <c r="F119" s="39">
        <f>_xlfn.IFNA(VLOOKUP(C119&amp;D119&amp;E119,Sheet2!$A$1:$E$123,5,FALSE),0)</f>
      </c>
      <c r="G119" s="27"/>
      <c r="H119" s="28">
        <f t="shared" si="5"/>
        <v>0</v>
      </c>
    </row>
    <row r="120">
      <c r="A120" s="4"/>
      <c r="B120" s="3"/>
      <c r="C120" s="37"/>
      <c r="D120" s="37"/>
      <c r="E120" s="38"/>
      <c r="F120" s="39">
        <f>_xlfn.IFNA(VLOOKUP(C120&amp;D120&amp;E120,Sheet2!$A$1:$E$123,5,FALSE),0)</f>
      </c>
      <c r="G120" s="27"/>
      <c r="H120" s="28">
        <f t="shared" si="5"/>
        <v>0</v>
      </c>
    </row>
    <row r="121">
      <c r="A121" s="4"/>
      <c r="B121" s="3"/>
      <c r="C121" s="37"/>
      <c r="D121" s="37"/>
      <c r="E121" s="38"/>
      <c r="F121" s="39">
        <f>_xlfn.IFNA(VLOOKUP(C121&amp;D121&amp;E121,Sheet2!$A$1:$E$123,5,FALSE),0)</f>
      </c>
      <c r="G121" s="27"/>
      <c r="H121" s="28">
        <f t="shared" si="5"/>
        <v>0</v>
      </c>
    </row>
    <row r="122">
      <c r="A122" s="4"/>
      <c r="B122" s="3"/>
      <c r="C122" s="37"/>
      <c r="D122" s="37"/>
      <c r="E122" s="38"/>
      <c r="F122" s="39">
        <f>_xlfn.IFNA(VLOOKUP(C122&amp;D122&amp;E122,Sheet2!$A$1:$E$123,5,FALSE),0)</f>
      </c>
      <c r="G122" s="27"/>
      <c r="H122" s="28">
        <f t="shared" si="5"/>
        <v>0</v>
      </c>
    </row>
    <row r="123">
      <c r="A123" s="4"/>
      <c r="B123" s="3"/>
      <c r="C123" s="37"/>
      <c r="D123" s="37"/>
      <c r="E123" s="38"/>
      <c r="F123" s="39">
        <f>_xlfn.IFNA(VLOOKUP(C123&amp;D123&amp;E123,Sheet2!$A$1:$E$123,5,FALSE),0)</f>
      </c>
      <c r="G123" s="27"/>
      <c r="H123" s="28">
        <f t="shared" si="5"/>
        <v>0</v>
      </c>
    </row>
    <row r="124">
      <c r="A124" s="4"/>
      <c r="B124" s="3"/>
      <c r="C124" s="37"/>
      <c r="D124" s="37"/>
      <c r="E124" s="38"/>
      <c r="F124" s="39">
        <f>_xlfn.IFNA(VLOOKUP(C124&amp;D124&amp;E124,Sheet2!$A$1:$E$123,5,FALSE),0)</f>
      </c>
      <c r="G124" s="27"/>
      <c r="H124" s="28">
        <f t="shared" si="5"/>
        <v>0</v>
      </c>
    </row>
    <row r="125">
      <c r="A125" s="4"/>
      <c r="B125" s="3"/>
      <c r="C125" s="37"/>
      <c r="D125" s="37"/>
      <c r="E125" s="38"/>
      <c r="F125" s="39">
        <f>_xlfn.IFNA(VLOOKUP(C125&amp;D125&amp;E125,Sheet2!$A$1:$E$123,5,FALSE),0)</f>
      </c>
      <c r="G125" s="27"/>
      <c r="H125" s="28">
        <f t="shared" si="5"/>
        <v>0</v>
      </c>
    </row>
    <row r="126">
      <c r="A126" s="4"/>
      <c r="B126" s="3"/>
      <c r="C126" s="37"/>
      <c r="D126" s="37"/>
      <c r="E126" s="38"/>
      <c r="F126" s="39">
        <f>_xlfn.IFNA(VLOOKUP(C126&amp;D126&amp;E126,Sheet2!$A$1:$E$123,5,FALSE),0)</f>
      </c>
      <c r="G126" s="27"/>
      <c r="H126" s="28">
        <f t="shared" si="5"/>
        <v>0</v>
      </c>
    </row>
    <row r="127">
      <c r="A127" s="4"/>
      <c r="B127" s="3"/>
      <c r="C127" s="37"/>
      <c r="D127" s="37"/>
      <c r="E127" s="38"/>
      <c r="F127" s="39">
        <f>_xlfn.IFNA(VLOOKUP(C127&amp;D127&amp;E127,Sheet2!$A$1:$E$123,5,FALSE),0)</f>
      </c>
      <c r="G127" s="27"/>
      <c r="H127" s="28">
        <f t="shared" si="5"/>
        <v>0</v>
      </c>
    </row>
    <row r="128">
      <c r="A128" s="4"/>
      <c r="B128" s="3"/>
      <c r="C128" s="37"/>
      <c r="D128" s="37"/>
      <c r="E128" s="38"/>
      <c r="F128" s="39">
        <f>_xlfn.IFNA(VLOOKUP(C128&amp;D128&amp;E128,Sheet2!$A$1:$E$123,5,FALSE),0)</f>
      </c>
      <c r="G128" s="27"/>
      <c r="H128" s="28">
        <f t="shared" si="5"/>
        <v>0</v>
      </c>
    </row>
    <row r="129">
      <c r="A129" s="4"/>
      <c r="B129" s="3"/>
      <c r="C129" s="37"/>
      <c r="D129" s="37"/>
      <c r="E129" s="38"/>
      <c r="F129" s="39">
        <f>_xlfn.IFNA(VLOOKUP(C129&amp;D129&amp;E129,Sheet2!$A$1:$E$123,5,FALSE),0)</f>
      </c>
      <c r="G129" s="27"/>
      <c r="H129" s="28">
        <f t="shared" si="5"/>
        <v>0</v>
      </c>
    </row>
    <row r="130">
      <c r="A130" s="4"/>
      <c r="B130" s="3"/>
      <c r="C130" s="37"/>
      <c r="D130" s="37"/>
      <c r="E130" s="38"/>
      <c r="F130" s="39">
        <f>_xlfn.IFNA(VLOOKUP(C130&amp;D130&amp;E130,Sheet2!$A$1:$E$123,5,FALSE),0)</f>
      </c>
      <c r="G130" s="27"/>
      <c r="H130" s="28">
        <f t="shared" si="5"/>
        <v>0</v>
      </c>
    </row>
    <row r="131">
      <c r="A131" s="4"/>
      <c r="B131" s="3"/>
      <c r="C131" s="37"/>
      <c r="D131" s="37"/>
      <c r="E131" s="38"/>
      <c r="F131" s="39">
        <f>_xlfn.IFNA(VLOOKUP(C131&amp;D131&amp;E131,Sheet2!$A$1:$E$123,5,FALSE),0)</f>
      </c>
      <c r="G131" s="27"/>
      <c r="H131" s="28">
        <f t="shared" si="5"/>
        <v>0</v>
      </c>
    </row>
    <row r="132">
      <c r="A132" s="4"/>
      <c r="B132" s="3"/>
      <c r="C132" s="37"/>
      <c r="D132" s="37"/>
      <c r="E132" s="38"/>
      <c r="F132" s="39">
        <f>_xlfn.IFNA(VLOOKUP(C132&amp;D132&amp;E132,Sheet2!$A$1:$E$123,5,FALSE),0)</f>
      </c>
      <c r="G132" s="27"/>
      <c r="H132" s="28">
        <f t="shared" si="5"/>
        <v>0</v>
      </c>
    </row>
    <row r="133">
      <c r="A133" s="4"/>
      <c r="B133" s="3"/>
      <c r="C133" s="37"/>
      <c r="D133" s="37"/>
      <c r="E133" s="38"/>
      <c r="F133" s="39">
        <f>_xlfn.IFNA(VLOOKUP(C133&amp;D133&amp;E133,Sheet2!$A$1:$E$123,5,FALSE),0)</f>
      </c>
      <c r="G133" s="27"/>
      <c r="H133" s="28">
        <f t="shared" si="5"/>
        <v>0</v>
      </c>
    </row>
    <row r="134">
      <c r="A134" s="4"/>
      <c r="B134" s="3"/>
      <c r="C134" s="37"/>
      <c r="D134" s="37"/>
      <c r="E134" s="38"/>
      <c r="F134" s="39">
        <f>_xlfn.IFNA(VLOOKUP(C134&amp;D134&amp;E134,Sheet2!$A$1:$E$123,5,FALSE),0)</f>
      </c>
      <c r="G134" s="27"/>
      <c r="H134" s="28">
        <f ref="H134:H165" t="shared" si="6">+F134*G134</f>
        <v>0</v>
      </c>
    </row>
    <row r="135">
      <c r="A135" s="4"/>
      <c r="B135" s="3"/>
      <c r="C135" s="37"/>
      <c r="D135" s="37"/>
      <c r="E135" s="38"/>
      <c r="F135" s="39">
        <f>_xlfn.IFNA(VLOOKUP(C135&amp;D135&amp;E135,Sheet2!$A$1:$E$123,5,FALSE),0)</f>
      </c>
      <c r="G135" s="27"/>
      <c r="H135" s="28">
        <f t="shared" si="6"/>
        <v>0</v>
      </c>
    </row>
    <row r="136">
      <c r="A136" s="4"/>
      <c r="B136" s="3"/>
      <c r="C136" s="37"/>
      <c r="D136" s="37"/>
      <c r="E136" s="38"/>
      <c r="F136" s="39">
        <f>_xlfn.IFNA(VLOOKUP(C136&amp;D136&amp;E136,Sheet2!$A$1:$E$123,5,FALSE),0)</f>
      </c>
      <c r="G136" s="27"/>
      <c r="H136" s="28">
        <f t="shared" si="6"/>
        <v>0</v>
      </c>
    </row>
    <row r="137">
      <c r="A137" s="4"/>
      <c r="B137" s="3"/>
      <c r="C137" s="37"/>
      <c r="D137" s="37"/>
      <c r="E137" s="38"/>
      <c r="F137" s="39">
        <f>_xlfn.IFNA(VLOOKUP(C137&amp;D137&amp;E137,Sheet2!$A$1:$E$123,5,FALSE),0)</f>
      </c>
      <c r="G137" s="27"/>
      <c r="H137" s="28">
        <f t="shared" si="6"/>
        <v>0</v>
      </c>
    </row>
    <row r="138">
      <c r="A138" s="4"/>
      <c r="B138" s="3"/>
      <c r="C138" s="37"/>
      <c r="D138" s="37"/>
      <c r="E138" s="38"/>
      <c r="F138" s="39">
        <f>_xlfn.IFNA(VLOOKUP(C138&amp;D138&amp;E138,Sheet2!$A$1:$E$123,5,FALSE),0)</f>
      </c>
      <c r="G138" s="27"/>
      <c r="H138" s="28">
        <f t="shared" si="6"/>
        <v>0</v>
      </c>
    </row>
    <row r="139">
      <c r="A139" s="4"/>
      <c r="B139" s="3"/>
      <c r="C139" s="37"/>
      <c r="D139" s="37"/>
      <c r="E139" s="38"/>
      <c r="F139" s="39">
        <f>_xlfn.IFNA(VLOOKUP(C139&amp;D139&amp;E139,Sheet2!$A$1:$E$123,5,FALSE),0)</f>
      </c>
      <c r="G139" s="27"/>
      <c r="H139" s="28">
        <f t="shared" si="6"/>
        <v>0</v>
      </c>
    </row>
    <row r="140">
      <c r="A140" s="4"/>
      <c r="B140" s="3"/>
      <c r="C140" s="37"/>
      <c r="D140" s="37"/>
      <c r="E140" s="38"/>
      <c r="F140" s="39">
        <f>_xlfn.IFNA(VLOOKUP(C140&amp;D140&amp;E140,Sheet2!$A$1:$E$123,5,FALSE),0)</f>
      </c>
      <c r="G140" s="27"/>
      <c r="H140" s="28">
        <f t="shared" si="6"/>
        <v>0</v>
      </c>
    </row>
    <row r="141">
      <c r="A141" s="4"/>
      <c r="B141" s="3"/>
      <c r="C141" s="37"/>
      <c r="D141" s="37"/>
      <c r="E141" s="38"/>
      <c r="F141" s="39">
        <f>_xlfn.IFNA(VLOOKUP(C141&amp;D141&amp;E141,Sheet2!$A$1:$E$123,5,FALSE),0)</f>
      </c>
      <c r="G141" s="27"/>
      <c r="H141" s="28">
        <f t="shared" si="6"/>
        <v>0</v>
      </c>
    </row>
    <row r="142">
      <c r="A142" s="4"/>
      <c r="B142" s="3"/>
      <c r="C142" s="37"/>
      <c r="D142" s="37"/>
      <c r="E142" s="38"/>
      <c r="F142" s="39">
        <f>_xlfn.IFNA(VLOOKUP(C142&amp;D142&amp;E142,Sheet2!$A$1:$E$123,5,FALSE),0)</f>
      </c>
      <c r="G142" s="27"/>
      <c r="H142" s="28">
        <f t="shared" si="6"/>
        <v>0</v>
      </c>
    </row>
    <row r="143">
      <c r="A143" s="4"/>
      <c r="B143" s="3"/>
      <c r="C143" s="37"/>
      <c r="D143" s="37"/>
      <c r="E143" s="38"/>
      <c r="F143" s="39">
        <f>_xlfn.IFNA(VLOOKUP(C143&amp;D143&amp;E143,Sheet2!$A$1:$E$123,5,FALSE),0)</f>
      </c>
      <c r="G143" s="27"/>
      <c r="H143" s="28">
        <f t="shared" si="6"/>
        <v>0</v>
      </c>
    </row>
    <row r="144">
      <c r="A144" s="4"/>
      <c r="B144" s="3"/>
      <c r="C144" s="37"/>
      <c r="D144" s="37"/>
      <c r="E144" s="38"/>
      <c r="F144" s="39">
        <f>_xlfn.IFNA(VLOOKUP(C144&amp;D144&amp;E144,Sheet2!$A$1:$E$123,5,FALSE),0)</f>
      </c>
      <c r="G144" s="27"/>
      <c r="H144" s="28">
        <f t="shared" si="6"/>
        <v>0</v>
      </c>
    </row>
    <row r="145">
      <c r="A145" s="4"/>
      <c r="B145" s="3"/>
      <c r="C145" s="37"/>
      <c r="D145" s="37"/>
      <c r="E145" s="38"/>
      <c r="F145" s="39">
        <f>_xlfn.IFNA(VLOOKUP(C145&amp;D145&amp;E145,Sheet2!$A$1:$E$123,5,FALSE),0)</f>
      </c>
      <c r="G145" s="27"/>
      <c r="H145" s="28">
        <f t="shared" si="6"/>
        <v>0</v>
      </c>
    </row>
    <row r="146">
      <c r="A146" s="4"/>
      <c r="B146" s="3"/>
      <c r="C146" s="37"/>
      <c r="D146" s="37"/>
      <c r="E146" s="38"/>
      <c r="F146" s="39">
        <f>_xlfn.IFNA(VLOOKUP(C146&amp;D146&amp;E146,Sheet2!$A$1:$E$123,5,FALSE),0)</f>
      </c>
      <c r="G146" s="27"/>
      <c r="H146" s="28">
        <f t="shared" si="6"/>
        <v>0</v>
      </c>
    </row>
    <row r="147">
      <c r="A147" s="4"/>
      <c r="B147" s="3"/>
      <c r="C147" s="37"/>
      <c r="D147" s="37"/>
      <c r="E147" s="38"/>
      <c r="F147" s="39">
        <f>_xlfn.IFNA(VLOOKUP(C147&amp;D147&amp;E147,Sheet2!$A$1:$E$123,5,FALSE),0)</f>
      </c>
      <c r="G147" s="27"/>
      <c r="H147" s="28">
        <f t="shared" si="6"/>
        <v>0</v>
      </c>
    </row>
    <row r="148">
      <c r="A148" s="4"/>
      <c r="B148" s="3"/>
      <c r="C148" s="37"/>
      <c r="D148" s="37"/>
      <c r="E148" s="38"/>
      <c r="F148" s="39">
        <f>_xlfn.IFNA(VLOOKUP(C148&amp;D148&amp;E148,Sheet2!$A$1:$E$123,5,FALSE),0)</f>
      </c>
      <c r="G148" s="27"/>
      <c r="H148" s="28">
        <f t="shared" si="6"/>
        <v>0</v>
      </c>
    </row>
    <row r="149">
      <c r="A149" s="4"/>
      <c r="B149" s="3"/>
      <c r="C149" s="37"/>
      <c r="D149" s="37"/>
      <c r="E149" s="38"/>
      <c r="F149" s="39">
        <f>_xlfn.IFNA(VLOOKUP(C149&amp;D149&amp;E149,Sheet2!$A$1:$E$123,5,FALSE),0)</f>
      </c>
      <c r="G149" s="27"/>
      <c r="H149" s="28">
        <f t="shared" si="6"/>
        <v>0</v>
      </c>
    </row>
    <row r="150">
      <c r="A150" s="4"/>
      <c r="B150" s="3"/>
      <c r="C150" s="37"/>
      <c r="D150" s="37"/>
      <c r="E150" s="38"/>
      <c r="F150" s="39">
        <f>_xlfn.IFNA(VLOOKUP(C150&amp;D150&amp;E150,Sheet2!$A$1:$E$123,5,FALSE),0)</f>
      </c>
      <c r="G150" s="27"/>
      <c r="H150" s="28">
        <f t="shared" si="6"/>
        <v>0</v>
      </c>
    </row>
    <row r="151">
      <c r="A151" s="4"/>
      <c r="B151" s="3"/>
      <c r="C151" s="37"/>
      <c r="D151" s="37"/>
      <c r="E151" s="38"/>
      <c r="F151" s="39">
        <f>_xlfn.IFNA(VLOOKUP(C151&amp;D151&amp;E151,Sheet2!$A$1:$E$123,5,FALSE),0)</f>
      </c>
      <c r="G151" s="27"/>
      <c r="H151" s="28">
        <f t="shared" si="6"/>
        <v>0</v>
      </c>
    </row>
    <row r="152">
      <c r="A152" s="4"/>
      <c r="B152" s="3"/>
      <c r="C152" s="37"/>
      <c r="D152" s="37"/>
      <c r="E152" s="38"/>
      <c r="F152" s="39">
        <f>_xlfn.IFNA(VLOOKUP(C152&amp;D152&amp;E152,Sheet2!$A$1:$E$123,5,FALSE),0)</f>
      </c>
      <c r="G152" s="27"/>
      <c r="H152" s="28">
        <f t="shared" si="6"/>
        <v>0</v>
      </c>
    </row>
    <row r="153">
      <c r="A153" s="4"/>
      <c r="B153" s="3"/>
      <c r="C153" s="37"/>
      <c r="D153" s="37"/>
      <c r="E153" s="38"/>
      <c r="F153" s="39">
        <f>_xlfn.IFNA(VLOOKUP(C153&amp;D153&amp;E153,Sheet2!$A$1:$E$123,5,FALSE),0)</f>
      </c>
      <c r="G153" s="27"/>
      <c r="H153" s="28">
        <f t="shared" si="6"/>
        <v>0</v>
      </c>
    </row>
    <row r="154">
      <c r="A154" s="4"/>
      <c r="B154" s="3"/>
      <c r="C154" s="37"/>
      <c r="D154" s="37"/>
      <c r="E154" s="38"/>
      <c r="F154" s="39">
        <f>_xlfn.IFNA(VLOOKUP(C154&amp;D154&amp;E154,Sheet2!$A$1:$E$123,5,FALSE),0)</f>
      </c>
      <c r="G154" s="27"/>
      <c r="H154" s="28">
        <f t="shared" si="6"/>
        <v>0</v>
      </c>
    </row>
    <row r="155">
      <c r="A155" s="4"/>
      <c r="B155" s="3"/>
      <c r="C155" s="37"/>
      <c r="D155" s="37"/>
      <c r="E155" s="38"/>
      <c r="F155" s="39">
        <f>_xlfn.IFNA(VLOOKUP(C155&amp;D155&amp;E155,Sheet2!$A$1:$E$123,5,FALSE),0)</f>
      </c>
      <c r="G155" s="27"/>
      <c r="H155" s="28">
        <f t="shared" si="6"/>
        <v>0</v>
      </c>
    </row>
    <row r="156">
      <c r="A156" s="4"/>
      <c r="B156" s="3"/>
      <c r="C156" s="37"/>
      <c r="D156" s="37"/>
      <c r="E156" s="38"/>
      <c r="F156" s="39">
        <f>_xlfn.IFNA(VLOOKUP(C156&amp;D156&amp;E156,Sheet2!$A$1:$E$123,5,FALSE),0)</f>
      </c>
      <c r="G156" s="27"/>
      <c r="H156" s="28">
        <f t="shared" si="6"/>
        <v>0</v>
      </c>
    </row>
    <row r="157">
      <c r="A157" s="4"/>
      <c r="B157" s="3"/>
      <c r="C157" s="37"/>
      <c r="D157" s="37"/>
      <c r="E157" s="38"/>
      <c r="F157" s="39">
        <f>_xlfn.IFNA(VLOOKUP(C157&amp;D157&amp;E157,Sheet2!$A$1:$E$123,5,FALSE),0)</f>
      </c>
      <c r="G157" s="27"/>
      <c r="H157" s="28">
        <f t="shared" si="6"/>
        <v>0</v>
      </c>
    </row>
    <row r="158">
      <c r="A158" s="4"/>
      <c r="B158" s="3"/>
      <c r="C158" s="37"/>
      <c r="D158" s="37"/>
      <c r="E158" s="38"/>
      <c r="F158" s="39">
        <f>_xlfn.IFNA(VLOOKUP(C158&amp;D158&amp;E158,Sheet2!$A$1:$E$123,5,FALSE),0)</f>
      </c>
      <c r="G158" s="27"/>
      <c r="H158" s="28">
        <f t="shared" si="6"/>
        <v>0</v>
      </c>
    </row>
    <row r="159">
      <c r="A159" s="4"/>
      <c r="B159" s="3"/>
      <c r="C159" s="37"/>
      <c r="D159" s="37"/>
      <c r="E159" s="38"/>
      <c r="F159" s="39">
        <f>_xlfn.IFNA(VLOOKUP(C159&amp;D159&amp;E159,Sheet2!$A$1:$E$123,5,FALSE),0)</f>
      </c>
      <c r="G159" s="27"/>
      <c r="H159" s="28">
        <f t="shared" si="6"/>
        <v>0</v>
      </c>
    </row>
    <row r="160">
      <c r="A160" s="4"/>
      <c r="B160" s="3"/>
      <c r="C160" s="37"/>
      <c r="D160" s="37"/>
      <c r="E160" s="38"/>
      <c r="F160" s="39">
        <f>_xlfn.IFNA(VLOOKUP(C160&amp;D160&amp;E160,Sheet2!$A$1:$E$123,5,FALSE),0)</f>
      </c>
      <c r="G160" s="27"/>
      <c r="H160" s="28">
        <f t="shared" si="6"/>
        <v>0</v>
      </c>
    </row>
    <row r="161">
      <c r="A161" s="4"/>
      <c r="B161" s="3"/>
      <c r="C161" s="37"/>
      <c r="D161" s="37"/>
      <c r="E161" s="38"/>
      <c r="F161" s="39">
        <f>_xlfn.IFNA(VLOOKUP(C161&amp;D161&amp;E161,Sheet2!$A$1:$E$123,5,FALSE),0)</f>
      </c>
      <c r="G161" s="27"/>
      <c r="H161" s="28">
        <f t="shared" si="6"/>
        <v>0</v>
      </c>
    </row>
    <row r="162">
      <c r="A162" s="4"/>
      <c r="B162" s="3"/>
      <c r="C162" s="37"/>
      <c r="D162" s="37"/>
      <c r="E162" s="38"/>
      <c r="F162" s="39">
        <f>_xlfn.IFNA(VLOOKUP(C162&amp;D162&amp;E162,Sheet2!$A$1:$E$123,5,FALSE),0)</f>
      </c>
      <c r="G162" s="27"/>
      <c r="H162" s="28">
        <f t="shared" si="6"/>
        <v>0</v>
      </c>
    </row>
    <row r="163">
      <c r="A163" s="4"/>
      <c r="B163" s="3"/>
      <c r="C163" s="37"/>
      <c r="D163" s="37"/>
      <c r="E163" s="38"/>
      <c r="F163" s="39">
        <f>_xlfn.IFNA(VLOOKUP(C163&amp;D163&amp;E163,Sheet2!$A$1:$E$123,5,FALSE),0)</f>
      </c>
      <c r="G163" s="27"/>
      <c r="H163" s="28">
        <f t="shared" si="6"/>
        <v>0</v>
      </c>
    </row>
    <row r="164">
      <c r="A164" s="4"/>
      <c r="B164" s="3"/>
      <c r="C164" s="37"/>
      <c r="D164" s="37"/>
      <c r="E164" s="38"/>
      <c r="F164" s="39">
        <f>_xlfn.IFNA(VLOOKUP(C164&amp;D164&amp;E164,Sheet2!$A$1:$E$123,5,FALSE),0)</f>
      </c>
      <c r="G164" s="27"/>
      <c r="H164" s="28">
        <f t="shared" si="6"/>
        <v>0</v>
      </c>
    </row>
    <row r="165">
      <c r="A165" s="4"/>
      <c r="B165" s="3"/>
      <c r="C165" s="37"/>
      <c r="D165" s="37"/>
      <c r="E165" s="38"/>
      <c r="F165" s="39">
        <f>_xlfn.IFNA(VLOOKUP(C165&amp;D165&amp;E165,Sheet2!$A$1:$E$123,5,FALSE),0)</f>
      </c>
      <c r="G165" s="27"/>
      <c r="H165" s="28">
        <f t="shared" si="6"/>
        <v>0</v>
      </c>
    </row>
    <row r="166">
      <c r="A166" s="4"/>
      <c r="B166" s="3"/>
      <c r="C166" s="37"/>
      <c r="D166" s="37"/>
      <c r="E166" s="38"/>
      <c r="F166" s="39">
        <f>_xlfn.IFNA(VLOOKUP(C166&amp;D166&amp;E166,Sheet2!$A$1:$E$123,5,FALSE),0)</f>
      </c>
      <c r="G166" s="27"/>
      <c r="H166" s="28">
        <f ref="H166:H197" t="shared" si="7">+F166*G166</f>
        <v>0</v>
      </c>
    </row>
    <row r="167">
      <c r="A167" s="4"/>
      <c r="B167" s="3"/>
      <c r="C167" s="37"/>
      <c r="D167" s="37"/>
      <c r="E167" s="38"/>
      <c r="F167" s="39">
        <f>_xlfn.IFNA(VLOOKUP(C167&amp;D167&amp;E167,Sheet2!$A$1:$E$123,5,FALSE),0)</f>
      </c>
      <c r="G167" s="27"/>
      <c r="H167" s="28">
        <f t="shared" si="7"/>
        <v>0</v>
      </c>
    </row>
    <row r="168">
      <c r="A168" s="4"/>
      <c r="B168" s="3"/>
      <c r="C168" s="37"/>
      <c r="D168" s="37"/>
      <c r="E168" s="38"/>
      <c r="F168" s="39">
        <f>_xlfn.IFNA(VLOOKUP(C168&amp;D168&amp;E168,Sheet2!$A$1:$E$123,5,FALSE),0)</f>
      </c>
      <c r="G168" s="27"/>
      <c r="H168" s="28">
        <f t="shared" si="7"/>
        <v>0</v>
      </c>
    </row>
    <row r="169">
      <c r="A169" s="4"/>
      <c r="B169" s="3"/>
      <c r="C169" s="37"/>
      <c r="D169" s="37"/>
      <c r="E169" s="38"/>
      <c r="F169" s="39">
        <f>_xlfn.IFNA(VLOOKUP(C169&amp;D169&amp;E169,Sheet2!$A$1:$E$123,5,FALSE),0)</f>
      </c>
      <c r="G169" s="27"/>
      <c r="H169" s="28">
        <f t="shared" si="7"/>
        <v>0</v>
      </c>
    </row>
    <row r="170">
      <c r="A170" s="4"/>
      <c r="B170" s="3"/>
      <c r="C170" s="37"/>
      <c r="D170" s="37"/>
      <c r="E170" s="38"/>
      <c r="F170" s="39">
        <f>_xlfn.IFNA(VLOOKUP(C170&amp;D170&amp;E170,Sheet2!$A$1:$E$123,5,FALSE),0)</f>
      </c>
      <c r="G170" s="27"/>
      <c r="H170" s="28">
        <f t="shared" si="7"/>
        <v>0</v>
      </c>
    </row>
    <row r="171">
      <c r="A171" s="4"/>
      <c r="B171" s="3"/>
      <c r="C171" s="37"/>
      <c r="D171" s="37"/>
      <c r="E171" s="38"/>
      <c r="F171" s="39">
        <f>_xlfn.IFNA(VLOOKUP(C171&amp;D171&amp;E171,Sheet2!$A$1:$E$123,5,FALSE),0)</f>
      </c>
      <c r="G171" s="27"/>
      <c r="H171" s="28">
        <f t="shared" si="7"/>
        <v>0</v>
      </c>
    </row>
    <row r="172">
      <c r="A172" s="4"/>
      <c r="B172" s="3"/>
      <c r="C172" s="37"/>
      <c r="D172" s="37"/>
      <c r="E172" s="38"/>
      <c r="F172" s="39">
        <f>_xlfn.IFNA(VLOOKUP(C172&amp;D172&amp;E172,Sheet2!$A$1:$E$123,5,FALSE),0)</f>
      </c>
      <c r="G172" s="27"/>
      <c r="H172" s="28">
        <f t="shared" si="7"/>
        <v>0</v>
      </c>
    </row>
    <row r="173">
      <c r="A173" s="4"/>
      <c r="B173" s="3"/>
      <c r="C173" s="37"/>
      <c r="D173" s="37"/>
      <c r="E173" s="38"/>
      <c r="F173" s="39">
        <f>_xlfn.IFNA(VLOOKUP(C173&amp;D173&amp;E173,Sheet2!$A$1:$E$123,5,FALSE),0)</f>
      </c>
      <c r="G173" s="27"/>
      <c r="H173" s="28">
        <f t="shared" si="7"/>
        <v>0</v>
      </c>
    </row>
    <row r="174">
      <c r="A174" s="4"/>
      <c r="B174" s="3"/>
      <c r="C174" s="37"/>
      <c r="D174" s="37"/>
      <c r="E174" s="38"/>
      <c r="F174" s="39">
        <f>_xlfn.IFNA(VLOOKUP(C174&amp;D174&amp;E174,Sheet2!$A$1:$E$123,5,FALSE),0)</f>
      </c>
      <c r="G174" s="27"/>
      <c r="H174" s="28">
        <f t="shared" si="7"/>
        <v>0</v>
      </c>
    </row>
    <row r="175">
      <c r="A175" s="4"/>
      <c r="B175" s="3"/>
      <c r="C175" s="37"/>
      <c r="D175" s="37"/>
      <c r="E175" s="38"/>
      <c r="F175" s="39">
        <f>_xlfn.IFNA(VLOOKUP(C175&amp;D175&amp;E175,Sheet2!$A$1:$E$123,5,FALSE),0)</f>
      </c>
      <c r="G175" s="27"/>
      <c r="H175" s="28">
        <f t="shared" si="7"/>
        <v>0</v>
      </c>
    </row>
    <row r="176">
      <c r="A176" s="4"/>
      <c r="B176" s="3"/>
      <c r="C176" s="37"/>
      <c r="D176" s="37"/>
      <c r="E176" s="38"/>
      <c r="F176" s="39">
        <f>_xlfn.IFNA(VLOOKUP(C176&amp;D176&amp;E176,Sheet2!$A$1:$E$123,5,FALSE),0)</f>
      </c>
      <c r="G176" s="27"/>
      <c r="H176" s="28">
        <f t="shared" si="7"/>
        <v>0</v>
      </c>
    </row>
    <row r="177">
      <c r="A177" s="4"/>
      <c r="B177" s="3"/>
      <c r="C177" s="37"/>
      <c r="D177" s="37"/>
      <c r="E177" s="38"/>
      <c r="F177" s="39">
        <f>_xlfn.IFNA(VLOOKUP(C177&amp;D177&amp;E177,Sheet2!$A$1:$E$123,5,FALSE),0)</f>
      </c>
      <c r="G177" s="27"/>
      <c r="H177" s="28">
        <f t="shared" si="7"/>
        <v>0</v>
      </c>
    </row>
    <row r="178">
      <c r="A178" s="4"/>
      <c r="B178" s="3"/>
      <c r="C178" s="37"/>
      <c r="D178" s="37"/>
      <c r="E178" s="38"/>
      <c r="F178" s="39">
        <f>_xlfn.IFNA(VLOOKUP(C178&amp;D178&amp;E178,Sheet2!$A$1:$E$123,5,FALSE),0)</f>
      </c>
      <c r="G178" s="27"/>
      <c r="H178" s="28">
        <f t="shared" si="7"/>
        <v>0</v>
      </c>
    </row>
    <row r="179">
      <c r="A179" s="4"/>
      <c r="B179" s="3"/>
      <c r="C179" s="37"/>
      <c r="D179" s="37"/>
      <c r="E179" s="38"/>
      <c r="F179" s="39">
        <f>_xlfn.IFNA(VLOOKUP(C179&amp;D179&amp;E179,Sheet2!$A$1:$E$123,5,FALSE),0)</f>
      </c>
      <c r="G179" s="27"/>
      <c r="H179" s="28">
        <f t="shared" si="7"/>
        <v>0</v>
      </c>
    </row>
    <row r="180">
      <c r="A180" s="4"/>
      <c r="B180" s="3"/>
      <c r="C180" s="37"/>
      <c r="D180" s="37"/>
      <c r="E180" s="38"/>
      <c r="F180" s="39">
        <f>_xlfn.IFNA(VLOOKUP(C180&amp;D180&amp;E180,Sheet2!$A$1:$E$123,5,FALSE),0)</f>
      </c>
      <c r="G180" s="27"/>
      <c r="H180" s="28">
        <f t="shared" si="7"/>
        <v>0</v>
      </c>
    </row>
    <row r="181">
      <c r="A181" s="4"/>
      <c r="B181" s="3"/>
      <c r="C181" s="37"/>
      <c r="D181" s="37"/>
      <c r="E181" s="38"/>
      <c r="F181" s="39">
        <f>_xlfn.IFNA(VLOOKUP(C181&amp;D181&amp;E181,Sheet2!$A$1:$E$123,5,FALSE),0)</f>
      </c>
      <c r="G181" s="27"/>
      <c r="H181" s="28">
        <f t="shared" si="7"/>
        <v>0</v>
      </c>
    </row>
    <row r="182">
      <c r="A182" s="4"/>
      <c r="B182" s="3"/>
      <c r="C182" s="37"/>
      <c r="D182" s="37"/>
      <c r="E182" s="38"/>
      <c r="F182" s="39">
        <f>_xlfn.IFNA(VLOOKUP(C182&amp;D182&amp;E182,Sheet2!$A$1:$E$123,5,FALSE),0)</f>
      </c>
      <c r="G182" s="27"/>
      <c r="H182" s="28">
        <f t="shared" si="7"/>
        <v>0</v>
      </c>
    </row>
    <row r="183">
      <c r="A183" s="4"/>
      <c r="B183" s="3"/>
      <c r="C183" s="37"/>
      <c r="D183" s="37"/>
      <c r="E183" s="38"/>
      <c r="F183" s="39">
        <f>_xlfn.IFNA(VLOOKUP(C183&amp;D183&amp;E183,Sheet2!$A$1:$E$123,5,FALSE),0)</f>
      </c>
      <c r="G183" s="27"/>
      <c r="H183" s="28">
        <f t="shared" si="7"/>
        <v>0</v>
      </c>
    </row>
    <row r="184">
      <c r="A184" s="4"/>
      <c r="B184" s="3"/>
      <c r="C184" s="37"/>
      <c r="D184" s="37"/>
      <c r="E184" s="38"/>
      <c r="F184" s="39">
        <f>_xlfn.IFNA(VLOOKUP(C184&amp;D184&amp;E184,Sheet2!$A$1:$E$123,5,FALSE),0)</f>
      </c>
      <c r="G184" s="27"/>
      <c r="H184" s="28">
        <f t="shared" si="7"/>
        <v>0</v>
      </c>
    </row>
    <row r="185">
      <c r="A185" s="4"/>
      <c r="B185" s="3"/>
      <c r="C185" s="37"/>
      <c r="D185" s="37"/>
      <c r="E185" s="38"/>
      <c r="F185" s="39">
        <f>_xlfn.IFNA(VLOOKUP(C185&amp;D185&amp;E185,Sheet2!$A$1:$E$123,5,FALSE),0)</f>
      </c>
      <c r="G185" s="27"/>
      <c r="H185" s="28">
        <f t="shared" si="7"/>
        <v>0</v>
      </c>
    </row>
    <row r="186">
      <c r="A186" s="4"/>
      <c r="B186" s="3"/>
      <c r="C186" s="37"/>
      <c r="D186" s="37"/>
      <c r="E186" s="38"/>
      <c r="F186" s="39">
        <f>_xlfn.IFNA(VLOOKUP(C186&amp;D186&amp;E186,Sheet2!$A$1:$E$123,5,FALSE),0)</f>
      </c>
      <c r="G186" s="27"/>
      <c r="H186" s="28">
        <f t="shared" si="7"/>
        <v>0</v>
      </c>
    </row>
    <row r="187">
      <c r="A187" s="4"/>
      <c r="B187" s="3"/>
      <c r="C187" s="37"/>
      <c r="D187" s="37"/>
      <c r="E187" s="38"/>
      <c r="F187" s="39">
        <f>_xlfn.IFNA(VLOOKUP(C187&amp;D187&amp;E187,Sheet2!$A$1:$E$123,5,FALSE),0)</f>
      </c>
      <c r="G187" s="27"/>
      <c r="H187" s="28">
        <f t="shared" si="7"/>
        <v>0</v>
      </c>
    </row>
    <row r="188">
      <c r="A188" s="4"/>
      <c r="B188" s="3"/>
      <c r="C188" s="37"/>
      <c r="D188" s="37"/>
      <c r="E188" s="38"/>
      <c r="F188" s="39">
        <f>_xlfn.IFNA(VLOOKUP(C188&amp;D188&amp;E188,Sheet2!$A$1:$E$123,5,FALSE),0)</f>
      </c>
      <c r="G188" s="27"/>
      <c r="H188" s="28">
        <f t="shared" si="7"/>
        <v>0</v>
      </c>
    </row>
    <row r="189">
      <c r="A189" s="4"/>
      <c r="B189" s="3"/>
      <c r="C189" s="37"/>
      <c r="D189" s="37"/>
      <c r="E189" s="38"/>
      <c r="F189" s="39">
        <f>_xlfn.IFNA(VLOOKUP(C189&amp;D189&amp;E189,Sheet2!$A$1:$E$123,5,FALSE),0)</f>
      </c>
      <c r="G189" s="27"/>
      <c r="H189" s="28">
        <f t="shared" si="7"/>
        <v>0</v>
      </c>
    </row>
    <row r="190">
      <c r="A190" s="4"/>
      <c r="B190" s="3"/>
      <c r="C190" s="37"/>
      <c r="D190" s="37"/>
      <c r="E190" s="38"/>
      <c r="F190" s="39">
        <f>_xlfn.IFNA(VLOOKUP(C190&amp;D190&amp;E190,Sheet2!$A$1:$E$123,5,FALSE),0)</f>
      </c>
      <c r="G190" s="27"/>
      <c r="H190" s="28">
        <f t="shared" si="7"/>
        <v>0</v>
      </c>
    </row>
    <row r="191">
      <c r="A191" s="4"/>
      <c r="B191" s="3"/>
      <c r="C191" s="37"/>
      <c r="D191" s="37"/>
      <c r="E191" s="38"/>
      <c r="F191" s="39">
        <f>_xlfn.IFNA(VLOOKUP(C191&amp;D191&amp;E191,Sheet2!$A$1:$E$123,5,FALSE),0)</f>
      </c>
      <c r="G191" s="27"/>
      <c r="H191" s="28">
        <f t="shared" si="7"/>
        <v>0</v>
      </c>
    </row>
    <row r="192">
      <c r="A192" s="4"/>
      <c r="B192" s="3"/>
      <c r="C192" s="37"/>
      <c r="D192" s="37"/>
      <c r="E192" s="38"/>
      <c r="F192" s="39">
        <f>_xlfn.IFNA(VLOOKUP(C192&amp;D192&amp;E192,Sheet2!$A$1:$E$123,5,FALSE),0)</f>
      </c>
      <c r="G192" s="27"/>
      <c r="H192" s="28">
        <f t="shared" si="7"/>
        <v>0</v>
      </c>
    </row>
    <row r="193">
      <c r="A193" s="4"/>
      <c r="B193" s="3"/>
      <c r="C193" s="37"/>
      <c r="D193" s="37"/>
      <c r="E193" s="38"/>
      <c r="F193" s="39">
        <f>_xlfn.IFNA(VLOOKUP(C193&amp;D193&amp;E193,Sheet2!$A$1:$E$123,5,FALSE),0)</f>
      </c>
      <c r="G193" s="27"/>
      <c r="H193" s="28">
        <f t="shared" si="7"/>
        <v>0</v>
      </c>
    </row>
    <row r="194">
      <c r="A194" s="4"/>
      <c r="B194" s="3"/>
      <c r="C194" s="37"/>
      <c r="D194" s="37"/>
      <c r="E194" s="38"/>
      <c r="F194" s="39">
        <f>_xlfn.IFNA(VLOOKUP(C194&amp;D194&amp;E194,Sheet2!$A$1:$E$123,5,FALSE),0)</f>
      </c>
      <c r="G194" s="27"/>
      <c r="H194" s="28">
        <f t="shared" si="7"/>
        <v>0</v>
      </c>
    </row>
    <row r="195">
      <c r="A195" s="4"/>
      <c r="B195" s="3"/>
      <c r="C195" s="37"/>
      <c r="D195" s="37"/>
      <c r="E195" s="38"/>
      <c r="F195" s="39">
        <f>_xlfn.IFNA(VLOOKUP(C195&amp;D195&amp;E195,Sheet2!$A$1:$E$123,5,FALSE),0)</f>
      </c>
      <c r="G195" s="27"/>
      <c r="H195" s="28">
        <f t="shared" si="7"/>
        <v>0</v>
      </c>
    </row>
    <row r="196">
      <c r="A196" s="4"/>
      <c r="B196" s="3"/>
      <c r="C196" s="37"/>
      <c r="D196" s="37"/>
      <c r="E196" s="38"/>
      <c r="F196" s="39">
        <f>_xlfn.IFNA(VLOOKUP(C196&amp;D196&amp;E196,Sheet2!$A$1:$E$123,5,FALSE),0)</f>
      </c>
      <c r="G196" s="27"/>
      <c r="H196" s="28">
        <f t="shared" si="7"/>
        <v>0</v>
      </c>
    </row>
    <row r="197">
      <c r="A197" s="4"/>
      <c r="B197" s="3"/>
      <c r="C197" s="37"/>
      <c r="D197" s="37"/>
      <c r="E197" s="38"/>
      <c r="F197" s="39">
        <f>_xlfn.IFNA(VLOOKUP(C197&amp;D197&amp;E197,Sheet2!$A$1:$E$123,5,FALSE),0)</f>
      </c>
      <c r="G197" s="27"/>
      <c r="H197" s="28">
        <f t="shared" si="7"/>
        <v>0</v>
      </c>
    </row>
    <row r="198">
      <c r="A198" s="4"/>
      <c r="B198" s="3"/>
      <c r="C198" s="37"/>
      <c r="D198" s="37"/>
      <c r="E198" s="38"/>
      <c r="F198" s="39">
        <f>_xlfn.IFNA(VLOOKUP(C198&amp;D198&amp;E198,Sheet2!$A$1:$E$123,5,FALSE),0)</f>
      </c>
      <c r="G198" s="27"/>
      <c r="H198" s="28">
        <f ref="H198:H200" t="shared" si="8">+F198*G198</f>
        <v>0</v>
      </c>
    </row>
    <row r="199">
      <c r="A199" s="4"/>
      <c r="B199" s="3"/>
      <c r="C199" s="37"/>
      <c r="D199" s="37"/>
      <c r="E199" s="38"/>
      <c r="F199" s="39">
        <f>_xlfn.IFNA(VLOOKUP(C199&amp;D199&amp;E199,Sheet2!$A$1:$E$123,5,FALSE),0)</f>
      </c>
      <c r="G199" s="27"/>
      <c r="H199" s="28">
        <f t="shared" si="8"/>
        <v>0</v>
      </c>
    </row>
    <row r="200" ht="16.5">
      <c r="A200" s="5"/>
      <c r="B200" s="6"/>
      <c r="C200" s="43"/>
      <c r="D200" s="43"/>
      <c r="E200" s="44"/>
      <c r="F200" s="42">
        <f>_xlfn.IFNA(VLOOKUP(C200&amp;D200&amp;E200,Sheet2!$A$1:$E$123,5,FALSE),0)</f>
      </c>
      <c r="G200" s="34"/>
      <c r="H200" s="35">
        <f t="shared" si="8"/>
        <v>0</v>
      </c>
    </row>
  </sheetData>
  <sheetProtection sheet="1" password="c7db" selectLockedCells="1"/>
  <mergeCells>
    <mergeCell ref="A10:B10"/>
    <mergeCell ref="A1:H1"/>
    <mergeCell ref="G4:H4"/>
    <mergeCell ref="B2:C2"/>
    <mergeCell ref="B3:C3"/>
    <mergeCell ref="A7:B7"/>
  </mergeCells>
  <dataValidations count="11">
    <dataValidation allowBlank="1" showInputMessage="1" showErrorMessage="1" prompt="Amount is automatically calculated in this column. Enter Sales Tax Rate below the table. Subtotal, Sales Tax amount, Deposit Received &amp; Invoice Total are at end of this column" sqref="H13" xr:uid="{00000000-0002-0000-0000-000000000000}"/>
    <dataValidation allowBlank="1" showInputMessage="1" showErrorMessage="1" prompt="Enter Price in this column under this heading" sqref="F13" xr:uid="{00000000-0002-0000-0000-000001000000}"/>
    <dataValidation allowBlank="1" showInputMessage="1" showErrorMessage="1" prompt="Enter Description in this column under this heading. Total items are at the end of this table column" sqref="D13:E13" xr:uid="{00000000-0002-0000-0000-000002000000}"/>
    <dataValidation allowBlank="1" showInputMessage="1" showErrorMessage="1" prompt="Enter Quantity in this column under this heading" sqref="G13 E13" xr:uid="{00000000-0002-0000-0000-000003000000}"/>
    <dataValidation allowBlank="1" showInputMessage="1" showErrorMessage="1" promptTitle="Warning" prompt="Final date" sqref="C4" xr:uid="{00000000-0002-0000-0000-000007000000}"/>
    <dataValidation allowBlank="1" showInputMessage="1" showErrorMessage="1" promptTitle="Warning" prompt="Date" sqref="A14:A200" xr:uid="{00000000-0002-0000-0000-000008000000}"/>
    <dataValidation allowBlank="1" showInputMessage="1" showErrorMessage="1" prompt="Enter Item Number in this column under this heading" sqref="B13:C13" xr:uid="{00000000-0002-0000-0000-000009000000}"/>
    <dataValidation type="date" allowBlank="1" showInputMessage="1" showErrorMessage="1" promptTitle="Warning" prompt="Start date" sqref="B4" xr:uid="{00000000-0002-0000-0000-00000A000000}">
      <formula1>36800</formula1>
      <formula2>51500</formula2>
    </dataValidation>
    <dataValidation type="decimal" errorStyle="warning" operator="greaterThanOrEqual" allowBlank="1" showInputMessage="1" showErrorMessage="1" error="Enter Quantity greater than or equal to 0. Press CANCEL and enter the value" sqref="G14:G200" xr:uid="{00000000-0002-0000-0000-000004000000}">
      <formula1>0</formula1>
    </dataValidation>
    <dataValidation type="decimal" errorStyle="warning" operator="greaterThan" allowBlank="1" showInputMessage="1" showErrorMessage="1" error="Enter a Price greater than or equal to 0. Press CANCEL and enter the value" sqref="F14:F200" xr:uid="{00000000-0002-0000-0000-000005000000}">
      <formula1>0</formula1>
    </dataValidation>
    <dataValidation type="custom" allowBlank="1" showInputMessage="1" showErrorMessage="1" errorTitle="DUPLICATE VALUE" error="The ticket number has already been entered." sqref="B14:B200" xr:uid="{DC1B163C-6ACD-4941-B156-5C5D5097B55C}">
      <formula1> COUNTIF(B:B, B14) = 1</formula1>
    </dataValidation>
  </dataValidations>
  <pageMargins left="0.7" right="0.7" top="0.75" bottom="0.75" header="0.3" footer="0.3"/>
  <pageSetup orientation="portrait"/>
  <headerFooter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561">
        <x14:dataValidation type="list" xr:uid="{1F4943C2-B988-4115-A29E-32E68E977AF8}">
          <x14:formula1>
            <xm:f>Sheet2!F1:F22</xm:f>
          </x14:formula1>
          <xm:sqref>C14</xm:sqref>
        </x14:dataValidation>
        <x14:dataValidation type="list" xr:uid="{4E620FE4-60CE-4B03-9E18-E3B210AF32B3}">
          <x14:formula1>
            <xm:f>Sheet2!F1:F22</xm:f>
          </x14:formula1>
          <xm:sqref>C15</xm:sqref>
        </x14:dataValidation>
        <x14:dataValidation type="list" xr:uid="{C567893A-9A00-43BE-8AD3-8D941E807F51}">
          <x14:formula1>
            <xm:f>Sheet2!F1:F22</xm:f>
          </x14:formula1>
          <xm:sqref>C16</xm:sqref>
        </x14:dataValidation>
        <x14:dataValidation type="list" xr:uid="{54498313-58EF-4244-A480-8A35CCD19E17}">
          <x14:formula1>
            <xm:f>Sheet2!F1:F22</xm:f>
          </x14:formula1>
          <xm:sqref>C17</xm:sqref>
        </x14:dataValidation>
        <x14:dataValidation type="list" xr:uid="{7F783FC2-BB9F-41A0-975F-6F2058A732AB}">
          <x14:formula1>
            <xm:f>Sheet2!F1:F22</xm:f>
          </x14:formula1>
          <xm:sqref>C18</xm:sqref>
        </x14:dataValidation>
        <x14:dataValidation type="list" xr:uid="{509E1DAE-9968-40A9-B474-454C85537481}">
          <x14:formula1>
            <xm:f>Sheet2!F1:F22</xm:f>
          </x14:formula1>
          <xm:sqref>C19</xm:sqref>
        </x14:dataValidation>
        <x14:dataValidation type="list" xr:uid="{4576EC5E-9651-49C7-93AB-216078F1F3F3}">
          <x14:formula1>
            <xm:f>Sheet2!F1:F22</xm:f>
          </x14:formula1>
          <xm:sqref>C20</xm:sqref>
        </x14:dataValidation>
        <x14:dataValidation type="list" xr:uid="{F87D52F9-2DE0-4464-BE3C-99D225D8E73B}">
          <x14:formula1>
            <xm:f>Sheet2!F1:F22</xm:f>
          </x14:formula1>
          <xm:sqref>C21</xm:sqref>
        </x14:dataValidation>
        <x14:dataValidation type="list" xr:uid="{B8739DA2-4D53-4175-AFCA-1D721C64A8D1}">
          <x14:formula1>
            <xm:f>Sheet2!F1:F22</xm:f>
          </x14:formula1>
          <xm:sqref>C22</xm:sqref>
        </x14:dataValidation>
        <x14:dataValidation type="list" xr:uid="{EFDDCA80-4616-4474-B363-81FD1A3E31CD}">
          <x14:formula1>
            <xm:f>Sheet2!F1:F22</xm:f>
          </x14:formula1>
          <xm:sqref>C23</xm:sqref>
        </x14:dataValidation>
        <x14:dataValidation type="list" xr:uid="{36858800-2910-4F1F-AA60-C77948CBE879}">
          <x14:formula1>
            <xm:f>Sheet2!F1:F22</xm:f>
          </x14:formula1>
          <xm:sqref>C24</xm:sqref>
        </x14:dataValidation>
        <x14:dataValidation type="list" xr:uid="{1E686C4B-C0B1-40E8-BE2B-C205D929B06C}">
          <x14:formula1>
            <xm:f>Sheet2!F1:F22</xm:f>
          </x14:formula1>
          <xm:sqref>C25</xm:sqref>
        </x14:dataValidation>
        <x14:dataValidation type="list" xr:uid="{C31934C3-8FA8-4248-AA87-B84978C3C36B}">
          <x14:formula1>
            <xm:f>Sheet2!F1:F22</xm:f>
          </x14:formula1>
          <xm:sqref>C26</xm:sqref>
        </x14:dataValidation>
        <x14:dataValidation type="list" xr:uid="{A2B5F262-7B66-47BE-9A2A-48654FF7F362}">
          <x14:formula1>
            <xm:f>Sheet2!F1:F22</xm:f>
          </x14:formula1>
          <xm:sqref>C27</xm:sqref>
        </x14:dataValidation>
        <x14:dataValidation type="list" xr:uid="{B26A9FB2-C36D-4E25-986B-41180547E8A5}">
          <x14:formula1>
            <xm:f>Sheet2!F1:F22</xm:f>
          </x14:formula1>
          <xm:sqref>C28</xm:sqref>
        </x14:dataValidation>
        <x14:dataValidation type="list" xr:uid="{0BE89C52-8133-47C0-973B-F99AA56C741F}">
          <x14:formula1>
            <xm:f>Sheet2!F1:F22</xm:f>
          </x14:formula1>
          <xm:sqref>C29</xm:sqref>
        </x14:dataValidation>
        <x14:dataValidation type="list" xr:uid="{9774AA68-6D05-4ADE-B4F2-4EE461277AD5}">
          <x14:formula1>
            <xm:f>Sheet2!F1:F22</xm:f>
          </x14:formula1>
          <xm:sqref>C30</xm:sqref>
        </x14:dataValidation>
        <x14:dataValidation type="list" xr:uid="{E698579C-5337-4ECF-8782-A655F5236F70}">
          <x14:formula1>
            <xm:f>Sheet2!F1:F22</xm:f>
          </x14:formula1>
          <xm:sqref>C31</xm:sqref>
        </x14:dataValidation>
        <x14:dataValidation type="list" xr:uid="{B7DB38CE-CC61-45DA-A5BC-286058262BB2}">
          <x14:formula1>
            <xm:f>Sheet2!F1:F22</xm:f>
          </x14:formula1>
          <xm:sqref>C32</xm:sqref>
        </x14:dataValidation>
        <x14:dataValidation type="list" xr:uid="{1346B7AF-1C3D-4E8E-917F-4D78DF1D5E1D}">
          <x14:formula1>
            <xm:f>Sheet2!F1:F22</xm:f>
          </x14:formula1>
          <xm:sqref>C33</xm:sqref>
        </x14:dataValidation>
        <x14:dataValidation type="list" xr:uid="{1EEFA493-027C-4926-A295-E2C93F7EA9BF}">
          <x14:formula1>
            <xm:f>Sheet2!F1:F22</xm:f>
          </x14:formula1>
          <xm:sqref>C34</xm:sqref>
        </x14:dataValidation>
        <x14:dataValidation type="list" xr:uid="{C1E1D0BE-D607-4551-9E5B-09DA339FE0FD}">
          <x14:formula1>
            <xm:f>Sheet2!F1:F22</xm:f>
          </x14:formula1>
          <xm:sqref>C35</xm:sqref>
        </x14:dataValidation>
        <x14:dataValidation type="list" xr:uid="{EDB10343-01C1-473D-A96A-CC44C0A9E365}">
          <x14:formula1>
            <xm:f>Sheet2!F1:F22</xm:f>
          </x14:formula1>
          <xm:sqref>C36</xm:sqref>
        </x14:dataValidation>
        <x14:dataValidation type="list" xr:uid="{6711BDA4-D27F-470F-8472-49D85320DE50}">
          <x14:formula1>
            <xm:f>Sheet2!F1:F22</xm:f>
          </x14:formula1>
          <xm:sqref>C37</xm:sqref>
        </x14:dataValidation>
        <x14:dataValidation type="list" xr:uid="{01DA9075-53EF-4311-B82E-2BE173284C4D}">
          <x14:formula1>
            <xm:f>Sheet2!F1:F22</xm:f>
          </x14:formula1>
          <xm:sqref>C38</xm:sqref>
        </x14:dataValidation>
        <x14:dataValidation type="list" xr:uid="{617F2651-B460-415F-B307-54C7E6928058}">
          <x14:formula1>
            <xm:f>Sheet2!F1:F22</xm:f>
          </x14:formula1>
          <xm:sqref>C39</xm:sqref>
        </x14:dataValidation>
        <x14:dataValidation type="list" xr:uid="{2C5CD811-C048-4609-AA86-CA5D3C727DC0}">
          <x14:formula1>
            <xm:f>Sheet2!F1:F22</xm:f>
          </x14:formula1>
          <xm:sqref>C40</xm:sqref>
        </x14:dataValidation>
        <x14:dataValidation type="list" xr:uid="{DBA701CA-4A1D-4022-AFB1-B3E51EBF2188}">
          <x14:formula1>
            <xm:f>Sheet2!F1:F22</xm:f>
          </x14:formula1>
          <xm:sqref>C41</xm:sqref>
        </x14:dataValidation>
        <x14:dataValidation type="list" xr:uid="{ED77F908-591D-4181-A41F-83001D0F398F}">
          <x14:formula1>
            <xm:f>Sheet2!F1:F22</xm:f>
          </x14:formula1>
          <xm:sqref>C42</xm:sqref>
        </x14:dataValidation>
        <x14:dataValidation type="list" xr:uid="{4F4001DA-A8A2-42C5-8276-1CB7CD13CF98}">
          <x14:formula1>
            <xm:f>Sheet2!F1:F22</xm:f>
          </x14:formula1>
          <xm:sqref>C43</xm:sqref>
        </x14:dataValidation>
        <x14:dataValidation type="list" xr:uid="{40BFD2DE-AFB4-4E40-9859-5BDA8D15BCF8}">
          <x14:formula1>
            <xm:f>Sheet2!F1:F22</xm:f>
          </x14:formula1>
          <xm:sqref>C44</xm:sqref>
        </x14:dataValidation>
        <x14:dataValidation type="list" xr:uid="{88D10515-2189-40B6-B727-8DA403CFF0AF}">
          <x14:formula1>
            <xm:f>Sheet2!F1:F22</xm:f>
          </x14:formula1>
          <xm:sqref>C45</xm:sqref>
        </x14:dataValidation>
        <x14:dataValidation type="list" xr:uid="{B7DA96CF-3823-4FF5-A607-7A4974076B95}">
          <x14:formula1>
            <xm:f>Sheet2!F1:F22</xm:f>
          </x14:formula1>
          <xm:sqref>C46</xm:sqref>
        </x14:dataValidation>
        <x14:dataValidation type="list" xr:uid="{92B26CB9-6C8D-4290-BA82-825547C8A8A2}">
          <x14:formula1>
            <xm:f>Sheet2!F1:F22</xm:f>
          </x14:formula1>
          <xm:sqref>C47</xm:sqref>
        </x14:dataValidation>
        <x14:dataValidation type="list" xr:uid="{97870057-A5B8-4AD9-BDC8-1EFEF1322303}">
          <x14:formula1>
            <xm:f>Sheet2!F1:F22</xm:f>
          </x14:formula1>
          <xm:sqref>C48</xm:sqref>
        </x14:dataValidation>
        <x14:dataValidation type="list" xr:uid="{8875C879-FBF9-45A8-8930-2B2CAACC2612}">
          <x14:formula1>
            <xm:f>Sheet2!F1:F22</xm:f>
          </x14:formula1>
          <xm:sqref>C49</xm:sqref>
        </x14:dataValidation>
        <x14:dataValidation type="list" xr:uid="{2904775A-C82C-484C-A741-AA176557A418}">
          <x14:formula1>
            <xm:f>Sheet2!F1:F22</xm:f>
          </x14:formula1>
          <xm:sqref>C50</xm:sqref>
        </x14:dataValidation>
        <x14:dataValidation type="list" xr:uid="{B02C3C57-80D5-4965-A1FD-674EC46A06DE}">
          <x14:formula1>
            <xm:f>Sheet2!F1:F22</xm:f>
          </x14:formula1>
          <xm:sqref>C51</xm:sqref>
        </x14:dataValidation>
        <x14:dataValidation type="list" xr:uid="{CAE48822-A387-4A42-8832-3796E866500F}">
          <x14:formula1>
            <xm:f>Sheet2!F1:F22</xm:f>
          </x14:formula1>
          <xm:sqref>C52</xm:sqref>
        </x14:dataValidation>
        <x14:dataValidation type="list" xr:uid="{EB2BBC73-42A0-403C-9D6E-8D2987B3FF43}">
          <x14:formula1>
            <xm:f>Sheet2!F1:F22</xm:f>
          </x14:formula1>
          <xm:sqref>C53</xm:sqref>
        </x14:dataValidation>
        <x14:dataValidation type="list" xr:uid="{9D0DEA6B-9556-42F7-BDAD-6F16D6E35E38}">
          <x14:formula1>
            <xm:f>Sheet2!F1:F22</xm:f>
          </x14:formula1>
          <xm:sqref>C54</xm:sqref>
        </x14:dataValidation>
        <x14:dataValidation type="list" xr:uid="{3909266F-9DCB-4C46-A62D-3CDA293B3896}">
          <x14:formula1>
            <xm:f>Sheet2!F1:F22</xm:f>
          </x14:formula1>
          <xm:sqref>C55</xm:sqref>
        </x14:dataValidation>
        <x14:dataValidation type="list" xr:uid="{5E42874F-0E1C-4FF9-8390-2E2ED39E1422}">
          <x14:formula1>
            <xm:f>Sheet2!F1:F22</xm:f>
          </x14:formula1>
          <xm:sqref>C56</xm:sqref>
        </x14:dataValidation>
        <x14:dataValidation type="list" xr:uid="{25F7E273-D71A-4EFD-9EA1-9998F8B273CF}">
          <x14:formula1>
            <xm:f>Sheet2!F1:F22</xm:f>
          </x14:formula1>
          <xm:sqref>C57</xm:sqref>
        </x14:dataValidation>
        <x14:dataValidation type="list" xr:uid="{7526D012-1165-4E43-B93C-DD5B34119E30}">
          <x14:formula1>
            <xm:f>Sheet2!F1:F22</xm:f>
          </x14:formula1>
          <xm:sqref>C58</xm:sqref>
        </x14:dataValidation>
        <x14:dataValidation type="list" xr:uid="{39A71739-BCC7-45E2-9015-50B55F81713F}">
          <x14:formula1>
            <xm:f>Sheet2!F1:F22</xm:f>
          </x14:formula1>
          <xm:sqref>C59</xm:sqref>
        </x14:dataValidation>
        <x14:dataValidation type="list" xr:uid="{DCEA58F7-751B-4034-A2F4-2F3964A65DBD}">
          <x14:formula1>
            <xm:f>Sheet2!F1:F22</xm:f>
          </x14:formula1>
          <xm:sqref>C60</xm:sqref>
        </x14:dataValidation>
        <x14:dataValidation type="list" xr:uid="{D970648F-1C0B-4DA3-8CC7-9BA88FF96379}">
          <x14:formula1>
            <xm:f>Sheet2!F1:F22</xm:f>
          </x14:formula1>
          <xm:sqref>C61</xm:sqref>
        </x14:dataValidation>
        <x14:dataValidation type="list" xr:uid="{B9D809BC-1CD6-480A-97AE-CE57B9E92373}">
          <x14:formula1>
            <xm:f>Sheet2!F1:F22</xm:f>
          </x14:formula1>
          <xm:sqref>C62</xm:sqref>
        </x14:dataValidation>
        <x14:dataValidation type="list" xr:uid="{173713D5-2539-4DA7-B963-4C0D2124ADEC}">
          <x14:formula1>
            <xm:f>Sheet2!F1:F22</xm:f>
          </x14:formula1>
          <xm:sqref>C63</xm:sqref>
        </x14:dataValidation>
        <x14:dataValidation type="list" xr:uid="{0FD78966-F8E5-41D4-8DA5-6DC1CEC0F6BA}">
          <x14:formula1>
            <xm:f>Sheet2!F1:F22</xm:f>
          </x14:formula1>
          <xm:sqref>C64</xm:sqref>
        </x14:dataValidation>
        <x14:dataValidation type="list" xr:uid="{F2008726-9D4B-46D8-86E2-1E23825EA068}">
          <x14:formula1>
            <xm:f>Sheet2!F1:F22</xm:f>
          </x14:formula1>
          <xm:sqref>C65</xm:sqref>
        </x14:dataValidation>
        <x14:dataValidation type="list" xr:uid="{0A3B79E5-685A-4836-B060-04DF6E93EF77}">
          <x14:formula1>
            <xm:f>Sheet2!F1:F22</xm:f>
          </x14:formula1>
          <xm:sqref>C66</xm:sqref>
        </x14:dataValidation>
        <x14:dataValidation type="list" xr:uid="{DB27E542-8C3C-4C32-9B8F-D89579A64CCF}">
          <x14:formula1>
            <xm:f>Sheet2!F1:F22</xm:f>
          </x14:formula1>
          <xm:sqref>C67</xm:sqref>
        </x14:dataValidation>
        <x14:dataValidation type="list" xr:uid="{1EE9855B-A025-4BF6-AEE9-4C49DB87BA04}">
          <x14:formula1>
            <xm:f>Sheet2!F1:F22</xm:f>
          </x14:formula1>
          <xm:sqref>C68</xm:sqref>
        </x14:dataValidation>
        <x14:dataValidation type="list" xr:uid="{738F52A9-6EA4-4CDB-816D-0BD3A9569FD9}">
          <x14:formula1>
            <xm:f>Sheet2!F1:F22</xm:f>
          </x14:formula1>
          <xm:sqref>C69</xm:sqref>
        </x14:dataValidation>
        <x14:dataValidation type="list" xr:uid="{7002FEBC-0BD9-4B29-B6CC-6164F20D8F4A}">
          <x14:formula1>
            <xm:f>Sheet2!F1:F22</xm:f>
          </x14:formula1>
          <xm:sqref>C70</xm:sqref>
        </x14:dataValidation>
        <x14:dataValidation type="list" xr:uid="{05C5858B-D815-45DE-92CE-C16C56A09EC4}">
          <x14:formula1>
            <xm:f>Sheet2!F1:F22</xm:f>
          </x14:formula1>
          <xm:sqref>C71</xm:sqref>
        </x14:dataValidation>
        <x14:dataValidation type="list" xr:uid="{F32D77B1-DBA6-47F4-855E-786690763963}">
          <x14:formula1>
            <xm:f>Sheet2!F1:F22</xm:f>
          </x14:formula1>
          <xm:sqref>C72</xm:sqref>
        </x14:dataValidation>
        <x14:dataValidation type="list" xr:uid="{537ABC10-B4E9-48E2-8C6C-213AB7635C36}">
          <x14:formula1>
            <xm:f>Sheet2!F1:F22</xm:f>
          </x14:formula1>
          <xm:sqref>C73</xm:sqref>
        </x14:dataValidation>
        <x14:dataValidation type="list" xr:uid="{C588A763-B68A-4E07-B21D-B6B403981AE4}">
          <x14:formula1>
            <xm:f>Sheet2!F1:F22</xm:f>
          </x14:formula1>
          <xm:sqref>C74</xm:sqref>
        </x14:dataValidation>
        <x14:dataValidation type="list" xr:uid="{0F31E5AB-35EB-4678-A879-D40636A0CAB5}">
          <x14:formula1>
            <xm:f>Sheet2!F1:F22</xm:f>
          </x14:formula1>
          <xm:sqref>C75</xm:sqref>
        </x14:dataValidation>
        <x14:dataValidation type="list" xr:uid="{70CD90F3-7D03-412A-979B-AEDC34B3A723}">
          <x14:formula1>
            <xm:f>Sheet2!F1:F22</xm:f>
          </x14:formula1>
          <xm:sqref>C76</xm:sqref>
        </x14:dataValidation>
        <x14:dataValidation type="list" xr:uid="{42ADF506-A0AE-4CE2-8AC3-0B632B3CB13B}">
          <x14:formula1>
            <xm:f>Sheet2!F1:F22</xm:f>
          </x14:formula1>
          <xm:sqref>C77</xm:sqref>
        </x14:dataValidation>
        <x14:dataValidation type="list" xr:uid="{DFBCC554-0E3A-4041-9F81-CC1680E441A7}">
          <x14:formula1>
            <xm:f>Sheet2!F1:F22</xm:f>
          </x14:formula1>
          <xm:sqref>C78</xm:sqref>
        </x14:dataValidation>
        <x14:dataValidation type="list" xr:uid="{C03C99CA-5359-4B34-A716-2B66E4D6F620}">
          <x14:formula1>
            <xm:f>Sheet2!F1:F22</xm:f>
          </x14:formula1>
          <xm:sqref>C79</xm:sqref>
        </x14:dataValidation>
        <x14:dataValidation type="list" xr:uid="{271608F7-2948-4575-86E5-647AEFF15688}">
          <x14:formula1>
            <xm:f>Sheet2!F1:F22</xm:f>
          </x14:formula1>
          <xm:sqref>C80</xm:sqref>
        </x14:dataValidation>
        <x14:dataValidation type="list" xr:uid="{ECF030B2-5789-4ECD-AD0C-76372253E1EB}">
          <x14:formula1>
            <xm:f>Sheet2!F1:F22</xm:f>
          </x14:formula1>
          <xm:sqref>C81</xm:sqref>
        </x14:dataValidation>
        <x14:dataValidation type="list" xr:uid="{C5FCF31D-A699-4DBE-BAD2-A03FE29D9CF4}">
          <x14:formula1>
            <xm:f>Sheet2!F1:F22</xm:f>
          </x14:formula1>
          <xm:sqref>C82</xm:sqref>
        </x14:dataValidation>
        <x14:dataValidation type="list" xr:uid="{927E6D9D-F7B0-40E7-AF7C-31182FA70314}">
          <x14:formula1>
            <xm:f>Sheet2!F1:F22</xm:f>
          </x14:formula1>
          <xm:sqref>C83</xm:sqref>
        </x14:dataValidation>
        <x14:dataValidation type="list" xr:uid="{41C64995-2F11-4D2A-839F-FDFEC2E4C2AD}">
          <x14:formula1>
            <xm:f>Sheet2!F1:F22</xm:f>
          </x14:formula1>
          <xm:sqref>C84</xm:sqref>
        </x14:dataValidation>
        <x14:dataValidation type="list" xr:uid="{BD1DD57D-5083-4D70-BEE0-FC9CB02CC7CD}">
          <x14:formula1>
            <xm:f>Sheet2!F1:F22</xm:f>
          </x14:formula1>
          <xm:sqref>C85</xm:sqref>
        </x14:dataValidation>
        <x14:dataValidation type="list" xr:uid="{EA9A5E12-AAAC-4EA4-8737-C0BC2C803936}">
          <x14:formula1>
            <xm:f>Sheet2!F1:F22</xm:f>
          </x14:formula1>
          <xm:sqref>C86</xm:sqref>
        </x14:dataValidation>
        <x14:dataValidation type="list" xr:uid="{E0D5629D-6676-4D9A-B14B-57909A4F92F7}">
          <x14:formula1>
            <xm:f>Sheet2!F1:F22</xm:f>
          </x14:formula1>
          <xm:sqref>C87</xm:sqref>
        </x14:dataValidation>
        <x14:dataValidation type="list" xr:uid="{B7AF8783-B440-4479-B293-4D1DCEC34E23}">
          <x14:formula1>
            <xm:f>Sheet2!F1:F22</xm:f>
          </x14:formula1>
          <xm:sqref>C88</xm:sqref>
        </x14:dataValidation>
        <x14:dataValidation type="list" xr:uid="{CB4B58C3-9807-44A5-A3E5-0FCDC347BBFC}">
          <x14:formula1>
            <xm:f>Sheet2!F1:F22</xm:f>
          </x14:formula1>
          <xm:sqref>C89</xm:sqref>
        </x14:dataValidation>
        <x14:dataValidation type="list" xr:uid="{71A18E82-704C-47F6-8EDF-1CBCCD562539}">
          <x14:formula1>
            <xm:f>Sheet2!F1:F22</xm:f>
          </x14:formula1>
          <xm:sqref>C90</xm:sqref>
        </x14:dataValidation>
        <x14:dataValidation type="list" xr:uid="{4E5F3348-E7A6-4005-A7A5-328087625B0A}">
          <x14:formula1>
            <xm:f>Sheet2!F1:F22</xm:f>
          </x14:formula1>
          <xm:sqref>C91</xm:sqref>
        </x14:dataValidation>
        <x14:dataValidation type="list" xr:uid="{0BED0819-A2D1-475C-B044-CF1244D3B757}">
          <x14:formula1>
            <xm:f>Sheet2!F1:F22</xm:f>
          </x14:formula1>
          <xm:sqref>C92</xm:sqref>
        </x14:dataValidation>
        <x14:dataValidation type="list" xr:uid="{879BF680-F54B-46F2-838C-6D9ACCC69743}">
          <x14:formula1>
            <xm:f>Sheet2!F1:F22</xm:f>
          </x14:formula1>
          <xm:sqref>C93</xm:sqref>
        </x14:dataValidation>
        <x14:dataValidation type="list" xr:uid="{28A2AD96-3323-4163-AB1B-EBEC52F4F779}">
          <x14:formula1>
            <xm:f>Sheet2!F1:F22</xm:f>
          </x14:formula1>
          <xm:sqref>C94</xm:sqref>
        </x14:dataValidation>
        <x14:dataValidation type="list" xr:uid="{374CB1A5-856F-4A05-AF7D-D76B90173A01}">
          <x14:formula1>
            <xm:f>Sheet2!F1:F22</xm:f>
          </x14:formula1>
          <xm:sqref>C95</xm:sqref>
        </x14:dataValidation>
        <x14:dataValidation type="list" xr:uid="{33E9F395-2C68-429E-8C2A-291D9B20756B}">
          <x14:formula1>
            <xm:f>Sheet2!F1:F22</xm:f>
          </x14:formula1>
          <xm:sqref>C96</xm:sqref>
        </x14:dataValidation>
        <x14:dataValidation type="list" xr:uid="{F667B283-8A62-4E8B-83F8-D07673E0097D}">
          <x14:formula1>
            <xm:f>Sheet2!F1:F22</xm:f>
          </x14:formula1>
          <xm:sqref>C97</xm:sqref>
        </x14:dataValidation>
        <x14:dataValidation type="list" xr:uid="{2DEEE62E-3B9F-4AA0-B853-5DF95CF30FAA}">
          <x14:formula1>
            <xm:f>Sheet2!F1:F22</xm:f>
          </x14:formula1>
          <xm:sqref>C98</xm:sqref>
        </x14:dataValidation>
        <x14:dataValidation type="list" xr:uid="{882073A2-8C49-4A61-AD7C-98D2F620A39C}">
          <x14:formula1>
            <xm:f>Sheet2!F1:F22</xm:f>
          </x14:formula1>
          <xm:sqref>C99</xm:sqref>
        </x14:dataValidation>
        <x14:dataValidation type="list" xr:uid="{3436896D-6562-49F2-AB8A-469A386D7178}">
          <x14:formula1>
            <xm:f>Sheet2!F1:F22</xm:f>
          </x14:formula1>
          <xm:sqref>C100</xm:sqref>
        </x14:dataValidation>
        <x14:dataValidation type="list" xr:uid="{7873D27D-8354-40E8-BC1A-17B998CD4E36}">
          <x14:formula1>
            <xm:f>Sheet2!F1:F22</xm:f>
          </x14:formula1>
          <xm:sqref>C101</xm:sqref>
        </x14:dataValidation>
        <x14:dataValidation type="list" xr:uid="{C84912AB-49C1-4DF7-880F-556EEE16A46C}">
          <x14:formula1>
            <xm:f>Sheet2!F1:F22</xm:f>
          </x14:formula1>
          <xm:sqref>C102</xm:sqref>
        </x14:dataValidation>
        <x14:dataValidation type="list" xr:uid="{A42E29C5-52E8-413D-AB30-EECBC1A02CFB}">
          <x14:formula1>
            <xm:f>Sheet2!F1:F22</xm:f>
          </x14:formula1>
          <xm:sqref>C103</xm:sqref>
        </x14:dataValidation>
        <x14:dataValidation type="list" xr:uid="{A3F1401B-315A-4684-8AB7-4787CC7E5861}">
          <x14:formula1>
            <xm:f>Sheet2!F1:F22</xm:f>
          </x14:formula1>
          <xm:sqref>C104</xm:sqref>
        </x14:dataValidation>
        <x14:dataValidation type="list" xr:uid="{60C7EFD2-1A50-479F-B7A9-5413259FA9CB}">
          <x14:formula1>
            <xm:f>Sheet2!F1:F22</xm:f>
          </x14:formula1>
          <xm:sqref>C105</xm:sqref>
        </x14:dataValidation>
        <x14:dataValidation type="list" xr:uid="{70482A1D-AC69-4C91-B44F-FFC4A1A76C80}">
          <x14:formula1>
            <xm:f>Sheet2!F1:F22</xm:f>
          </x14:formula1>
          <xm:sqref>C106</xm:sqref>
        </x14:dataValidation>
        <x14:dataValidation type="list" xr:uid="{187DE7EE-8E16-41DA-B01D-67926A10F725}">
          <x14:formula1>
            <xm:f>Sheet2!F1:F22</xm:f>
          </x14:formula1>
          <xm:sqref>C107</xm:sqref>
        </x14:dataValidation>
        <x14:dataValidation type="list" xr:uid="{941F438C-10C1-49AB-ACCB-7D09382543D6}">
          <x14:formula1>
            <xm:f>Sheet2!F1:F22</xm:f>
          </x14:formula1>
          <xm:sqref>C108</xm:sqref>
        </x14:dataValidation>
        <x14:dataValidation type="list" xr:uid="{B787CCFE-160A-49FD-B822-2BA81E42934C}">
          <x14:formula1>
            <xm:f>Sheet2!F1:F22</xm:f>
          </x14:formula1>
          <xm:sqref>C109</xm:sqref>
        </x14:dataValidation>
        <x14:dataValidation type="list" xr:uid="{EB3808BD-55D3-435B-8506-29744746B94A}">
          <x14:formula1>
            <xm:f>Sheet2!F1:F22</xm:f>
          </x14:formula1>
          <xm:sqref>C110</xm:sqref>
        </x14:dataValidation>
        <x14:dataValidation type="list" xr:uid="{A712CAA2-29E5-40D1-8368-DDA5BCED024B}">
          <x14:formula1>
            <xm:f>Sheet2!F1:F22</xm:f>
          </x14:formula1>
          <xm:sqref>C111</xm:sqref>
        </x14:dataValidation>
        <x14:dataValidation type="list" xr:uid="{55E8013E-38C2-4687-BAC6-A3EDF4018F71}">
          <x14:formula1>
            <xm:f>Sheet2!F1:F22</xm:f>
          </x14:formula1>
          <xm:sqref>C112</xm:sqref>
        </x14:dataValidation>
        <x14:dataValidation type="list" xr:uid="{3AB2A1B0-D580-4663-B5A6-FA8D58347193}">
          <x14:formula1>
            <xm:f>Sheet2!F1:F22</xm:f>
          </x14:formula1>
          <xm:sqref>C113</xm:sqref>
        </x14:dataValidation>
        <x14:dataValidation type="list" xr:uid="{75F28822-D8DC-4326-BA22-0613F2CF022A}">
          <x14:formula1>
            <xm:f>Sheet2!F1:F22</xm:f>
          </x14:formula1>
          <xm:sqref>C114</xm:sqref>
        </x14:dataValidation>
        <x14:dataValidation type="list" xr:uid="{EF51A462-4D5C-4511-B976-A453903AAA97}">
          <x14:formula1>
            <xm:f>Sheet2!F1:F22</xm:f>
          </x14:formula1>
          <xm:sqref>C115</xm:sqref>
        </x14:dataValidation>
        <x14:dataValidation type="list" xr:uid="{4C846694-CF7A-4D76-B96C-1B91B08B0132}">
          <x14:formula1>
            <xm:f>Sheet2!F1:F22</xm:f>
          </x14:formula1>
          <xm:sqref>C116</xm:sqref>
        </x14:dataValidation>
        <x14:dataValidation type="list" xr:uid="{4515B96A-78CE-468C-92F1-1AA2E8D5C53B}">
          <x14:formula1>
            <xm:f>Sheet2!F1:F22</xm:f>
          </x14:formula1>
          <xm:sqref>C117</xm:sqref>
        </x14:dataValidation>
        <x14:dataValidation type="list" xr:uid="{E4363B77-1879-44B7-8015-44D2459C438D}">
          <x14:formula1>
            <xm:f>Sheet2!F1:F22</xm:f>
          </x14:formula1>
          <xm:sqref>C118</xm:sqref>
        </x14:dataValidation>
        <x14:dataValidation type="list" xr:uid="{61FD854F-D393-45D0-9590-A45F6C0E1888}">
          <x14:formula1>
            <xm:f>Sheet2!F1:F22</xm:f>
          </x14:formula1>
          <xm:sqref>C119</xm:sqref>
        </x14:dataValidation>
        <x14:dataValidation type="list" xr:uid="{33562F22-0515-4566-A247-67DFA1B338B0}">
          <x14:formula1>
            <xm:f>Sheet2!F1:F22</xm:f>
          </x14:formula1>
          <xm:sqref>C120</xm:sqref>
        </x14:dataValidation>
        <x14:dataValidation type="list" xr:uid="{9E559431-30BA-45DB-82D8-85B28FC095B3}">
          <x14:formula1>
            <xm:f>Sheet2!F1:F22</xm:f>
          </x14:formula1>
          <xm:sqref>C121</xm:sqref>
        </x14:dataValidation>
        <x14:dataValidation type="list" xr:uid="{D0654C7D-16AD-4F2F-9D18-90A50D77FCE4}">
          <x14:formula1>
            <xm:f>Sheet2!F1:F22</xm:f>
          </x14:formula1>
          <xm:sqref>C122</xm:sqref>
        </x14:dataValidation>
        <x14:dataValidation type="list" xr:uid="{9EA438A3-C89B-49DE-8A7E-DA759ACA0C9B}">
          <x14:formula1>
            <xm:f>Sheet2!F1:F22</xm:f>
          </x14:formula1>
          <xm:sqref>C123</xm:sqref>
        </x14:dataValidation>
        <x14:dataValidation type="list" xr:uid="{67B3CC58-32E9-418F-8BF0-3B8B757F12DE}">
          <x14:formula1>
            <xm:f>Sheet2!F1:F22</xm:f>
          </x14:formula1>
          <xm:sqref>C124</xm:sqref>
        </x14:dataValidation>
        <x14:dataValidation type="list" xr:uid="{748DFA40-1527-455F-A15B-108B3CF5E4D4}">
          <x14:formula1>
            <xm:f>Sheet2!F1:F22</xm:f>
          </x14:formula1>
          <xm:sqref>C125</xm:sqref>
        </x14:dataValidation>
        <x14:dataValidation type="list" xr:uid="{3549F6CC-0284-43D0-8AB9-38220A4CBB3B}">
          <x14:formula1>
            <xm:f>Sheet2!F1:F22</xm:f>
          </x14:formula1>
          <xm:sqref>C126</xm:sqref>
        </x14:dataValidation>
        <x14:dataValidation type="list" xr:uid="{0A3A7373-978D-43FA-96A3-55970FF11BCF}">
          <x14:formula1>
            <xm:f>Sheet2!F1:F22</xm:f>
          </x14:formula1>
          <xm:sqref>C127</xm:sqref>
        </x14:dataValidation>
        <x14:dataValidation type="list" xr:uid="{6FAF8810-5793-44BB-87C8-BBF3CB0572CD}">
          <x14:formula1>
            <xm:f>Sheet2!F1:F22</xm:f>
          </x14:formula1>
          <xm:sqref>C128</xm:sqref>
        </x14:dataValidation>
        <x14:dataValidation type="list" xr:uid="{A9FE4784-C761-4E7D-B897-9ACD0946C652}">
          <x14:formula1>
            <xm:f>Sheet2!F1:F22</xm:f>
          </x14:formula1>
          <xm:sqref>C129</xm:sqref>
        </x14:dataValidation>
        <x14:dataValidation type="list" xr:uid="{F8237D4E-EF69-45FB-91A9-0AC296094DA4}">
          <x14:formula1>
            <xm:f>Sheet2!F1:F22</xm:f>
          </x14:formula1>
          <xm:sqref>C130</xm:sqref>
        </x14:dataValidation>
        <x14:dataValidation type="list" xr:uid="{17308925-3B70-48C9-AB25-5FCF1E85828A}">
          <x14:formula1>
            <xm:f>Sheet2!F1:F22</xm:f>
          </x14:formula1>
          <xm:sqref>C131</xm:sqref>
        </x14:dataValidation>
        <x14:dataValidation type="list" xr:uid="{C382CB8C-BAC8-4B33-BFAE-CDC030EF16A1}">
          <x14:formula1>
            <xm:f>Sheet2!F1:F22</xm:f>
          </x14:formula1>
          <xm:sqref>C132</xm:sqref>
        </x14:dataValidation>
        <x14:dataValidation type="list" xr:uid="{0822603A-FB03-4C26-AB01-876E284A1737}">
          <x14:formula1>
            <xm:f>Sheet2!F1:F22</xm:f>
          </x14:formula1>
          <xm:sqref>C133</xm:sqref>
        </x14:dataValidation>
        <x14:dataValidation type="list" xr:uid="{DE72FA58-4FA4-4FF2-9072-8317C30A7BCB}">
          <x14:formula1>
            <xm:f>Sheet2!F1:F22</xm:f>
          </x14:formula1>
          <xm:sqref>C134</xm:sqref>
        </x14:dataValidation>
        <x14:dataValidation type="list" xr:uid="{89DB87EC-1313-47E5-BA7F-C71E441E8C5E}">
          <x14:formula1>
            <xm:f>Sheet2!F1:F22</xm:f>
          </x14:formula1>
          <xm:sqref>C135</xm:sqref>
        </x14:dataValidation>
        <x14:dataValidation type="list" xr:uid="{F4592436-F0C4-4BA6-A8ED-B2F941C8635D}">
          <x14:formula1>
            <xm:f>Sheet2!F1:F22</xm:f>
          </x14:formula1>
          <xm:sqref>C136</xm:sqref>
        </x14:dataValidation>
        <x14:dataValidation type="list" xr:uid="{F9E329E1-00DE-4F0F-A56F-DC54A5D29710}">
          <x14:formula1>
            <xm:f>Sheet2!F1:F22</xm:f>
          </x14:formula1>
          <xm:sqref>C137</xm:sqref>
        </x14:dataValidation>
        <x14:dataValidation type="list" xr:uid="{62B66AC9-9F83-4093-9EB9-FDADB6D3C265}">
          <x14:formula1>
            <xm:f>Sheet2!F1:F22</xm:f>
          </x14:formula1>
          <xm:sqref>C138</xm:sqref>
        </x14:dataValidation>
        <x14:dataValidation type="list" xr:uid="{2C777E6E-D142-4600-B924-5BA6B456D818}">
          <x14:formula1>
            <xm:f>Sheet2!F1:F22</xm:f>
          </x14:formula1>
          <xm:sqref>C139</xm:sqref>
        </x14:dataValidation>
        <x14:dataValidation type="list" xr:uid="{B1EA418E-208F-4C08-BEAE-8973ED26E4A1}">
          <x14:formula1>
            <xm:f>Sheet2!F1:F22</xm:f>
          </x14:formula1>
          <xm:sqref>C140</xm:sqref>
        </x14:dataValidation>
        <x14:dataValidation type="list" xr:uid="{B6EBEDE0-1783-4E25-BEC7-35F935A8E1BB}">
          <x14:formula1>
            <xm:f>Sheet2!F1:F22</xm:f>
          </x14:formula1>
          <xm:sqref>C141</xm:sqref>
        </x14:dataValidation>
        <x14:dataValidation type="list" xr:uid="{DE0644A1-81D6-49A9-9E79-CAB928E11302}">
          <x14:formula1>
            <xm:f>Sheet2!F1:F22</xm:f>
          </x14:formula1>
          <xm:sqref>C142</xm:sqref>
        </x14:dataValidation>
        <x14:dataValidation type="list" xr:uid="{B2578350-14C0-4770-9029-739953668327}">
          <x14:formula1>
            <xm:f>Sheet2!F1:F22</xm:f>
          </x14:formula1>
          <xm:sqref>C143</xm:sqref>
        </x14:dataValidation>
        <x14:dataValidation type="list" xr:uid="{E5C12E9D-FCBA-4691-830D-91D558DA590D}">
          <x14:formula1>
            <xm:f>Sheet2!F1:F22</xm:f>
          </x14:formula1>
          <xm:sqref>C144</xm:sqref>
        </x14:dataValidation>
        <x14:dataValidation type="list" xr:uid="{2DA7655D-47E4-4C1A-946C-98EFFD4734B1}">
          <x14:formula1>
            <xm:f>Sheet2!F1:F22</xm:f>
          </x14:formula1>
          <xm:sqref>C145</xm:sqref>
        </x14:dataValidation>
        <x14:dataValidation type="list" xr:uid="{067A34D7-24C2-4CDE-B4E0-58587F736B7B}">
          <x14:formula1>
            <xm:f>Sheet2!F1:F22</xm:f>
          </x14:formula1>
          <xm:sqref>C146</xm:sqref>
        </x14:dataValidation>
        <x14:dataValidation type="list" xr:uid="{0BFBCC84-8987-4ABE-A4BC-06D138466A22}">
          <x14:formula1>
            <xm:f>Sheet2!F1:F22</xm:f>
          </x14:formula1>
          <xm:sqref>C147</xm:sqref>
        </x14:dataValidation>
        <x14:dataValidation type="list" xr:uid="{999CC8AA-C1E1-42A6-B092-1A79E028F143}">
          <x14:formula1>
            <xm:f>Sheet2!F1:F22</xm:f>
          </x14:formula1>
          <xm:sqref>C148</xm:sqref>
        </x14:dataValidation>
        <x14:dataValidation type="list" xr:uid="{CC8BD0A2-1917-4627-A6CA-6738D2131A4F}">
          <x14:formula1>
            <xm:f>Sheet2!F1:F22</xm:f>
          </x14:formula1>
          <xm:sqref>C149</xm:sqref>
        </x14:dataValidation>
        <x14:dataValidation type="list" xr:uid="{49D170C6-9595-4F2C-BFA1-5AF93AAD2C6E}">
          <x14:formula1>
            <xm:f>Sheet2!F1:F22</xm:f>
          </x14:formula1>
          <xm:sqref>C150</xm:sqref>
        </x14:dataValidation>
        <x14:dataValidation type="list" xr:uid="{2934AE12-5B59-4F95-AA94-00347CEC45EC}">
          <x14:formula1>
            <xm:f>Sheet2!F1:F22</xm:f>
          </x14:formula1>
          <xm:sqref>C151</xm:sqref>
        </x14:dataValidation>
        <x14:dataValidation type="list" xr:uid="{6805DA98-5FDB-4FC3-81AE-279C2BDEC936}">
          <x14:formula1>
            <xm:f>Sheet2!F1:F22</xm:f>
          </x14:formula1>
          <xm:sqref>C152</xm:sqref>
        </x14:dataValidation>
        <x14:dataValidation type="list" xr:uid="{5D725186-9145-4970-B51A-118E41A63AD9}">
          <x14:formula1>
            <xm:f>Sheet2!F1:F22</xm:f>
          </x14:formula1>
          <xm:sqref>C153</xm:sqref>
        </x14:dataValidation>
        <x14:dataValidation type="list" xr:uid="{24EB85F9-03FD-4B1B-8748-C01A7673E625}">
          <x14:formula1>
            <xm:f>Sheet2!F1:F22</xm:f>
          </x14:formula1>
          <xm:sqref>C154</xm:sqref>
        </x14:dataValidation>
        <x14:dataValidation type="list" xr:uid="{127E938C-CE5B-4E6B-BF74-22FC5F83B508}">
          <x14:formula1>
            <xm:f>Sheet2!F1:F22</xm:f>
          </x14:formula1>
          <xm:sqref>C155</xm:sqref>
        </x14:dataValidation>
        <x14:dataValidation type="list" xr:uid="{52DDA965-6ED6-42A9-9238-55E1ED7C0A48}">
          <x14:formula1>
            <xm:f>Sheet2!F1:F22</xm:f>
          </x14:formula1>
          <xm:sqref>C156</xm:sqref>
        </x14:dataValidation>
        <x14:dataValidation type="list" xr:uid="{D3D86DD8-3943-436C-857E-45F634A0EF9E}">
          <x14:formula1>
            <xm:f>Sheet2!F1:F22</xm:f>
          </x14:formula1>
          <xm:sqref>C157</xm:sqref>
        </x14:dataValidation>
        <x14:dataValidation type="list" xr:uid="{F175FEB7-F9E9-4366-A981-A074D3DE0663}">
          <x14:formula1>
            <xm:f>Sheet2!F1:F22</xm:f>
          </x14:formula1>
          <xm:sqref>C158</xm:sqref>
        </x14:dataValidation>
        <x14:dataValidation type="list" xr:uid="{E42570E4-D2D6-4EA8-81E5-2B17EA51C715}">
          <x14:formula1>
            <xm:f>Sheet2!F1:F22</xm:f>
          </x14:formula1>
          <xm:sqref>C159</xm:sqref>
        </x14:dataValidation>
        <x14:dataValidation type="list" xr:uid="{20E1F56F-6F7A-4223-B456-1F7C0A7B8D01}">
          <x14:formula1>
            <xm:f>Sheet2!F1:F22</xm:f>
          </x14:formula1>
          <xm:sqref>C160</xm:sqref>
        </x14:dataValidation>
        <x14:dataValidation type="list" xr:uid="{6924F340-ADCA-4788-A90A-F328A7753C82}">
          <x14:formula1>
            <xm:f>Sheet2!F1:F22</xm:f>
          </x14:formula1>
          <xm:sqref>C161</xm:sqref>
        </x14:dataValidation>
        <x14:dataValidation type="list" xr:uid="{AE1A3267-84C0-49DB-846B-9D36FB6A6018}">
          <x14:formula1>
            <xm:f>Sheet2!F1:F22</xm:f>
          </x14:formula1>
          <xm:sqref>C162</xm:sqref>
        </x14:dataValidation>
        <x14:dataValidation type="list" xr:uid="{6B431B66-61C9-4C6F-9EAA-7AAD2815927A}">
          <x14:formula1>
            <xm:f>Sheet2!F1:F22</xm:f>
          </x14:formula1>
          <xm:sqref>C163</xm:sqref>
        </x14:dataValidation>
        <x14:dataValidation type="list" xr:uid="{A5C96A67-54E3-44EA-8DC3-6DD3456631AD}">
          <x14:formula1>
            <xm:f>Sheet2!F1:F22</xm:f>
          </x14:formula1>
          <xm:sqref>C164</xm:sqref>
        </x14:dataValidation>
        <x14:dataValidation type="list" xr:uid="{FD34E29F-B584-42F8-8AF3-8A360D4C12F3}">
          <x14:formula1>
            <xm:f>Sheet2!F1:F22</xm:f>
          </x14:formula1>
          <xm:sqref>C165</xm:sqref>
        </x14:dataValidation>
        <x14:dataValidation type="list" xr:uid="{9A1829F7-5D6F-41D4-8768-EC4527B9FB3C}">
          <x14:formula1>
            <xm:f>Sheet2!F1:F22</xm:f>
          </x14:formula1>
          <xm:sqref>C166</xm:sqref>
        </x14:dataValidation>
        <x14:dataValidation type="list" xr:uid="{E67452D7-215F-4B60-B367-DE4F7342F0A1}">
          <x14:formula1>
            <xm:f>Sheet2!F1:F22</xm:f>
          </x14:formula1>
          <xm:sqref>C167</xm:sqref>
        </x14:dataValidation>
        <x14:dataValidation type="list" xr:uid="{850B0D7B-D62C-4FDF-B560-11D9B5B3505F}">
          <x14:formula1>
            <xm:f>Sheet2!F1:F22</xm:f>
          </x14:formula1>
          <xm:sqref>C168</xm:sqref>
        </x14:dataValidation>
        <x14:dataValidation type="list" xr:uid="{0E2656AF-7CCC-4CD6-9583-AA88C6BC8457}">
          <x14:formula1>
            <xm:f>Sheet2!F1:F22</xm:f>
          </x14:formula1>
          <xm:sqref>C169</xm:sqref>
        </x14:dataValidation>
        <x14:dataValidation type="list" xr:uid="{FA1CE657-A093-42F9-B347-814D0AFA852F}">
          <x14:formula1>
            <xm:f>Sheet2!F1:F22</xm:f>
          </x14:formula1>
          <xm:sqref>C170</xm:sqref>
        </x14:dataValidation>
        <x14:dataValidation type="list" xr:uid="{B0F68ED3-ACD4-40E4-A385-9E3E2260A840}">
          <x14:formula1>
            <xm:f>Sheet2!F1:F22</xm:f>
          </x14:formula1>
          <xm:sqref>C171</xm:sqref>
        </x14:dataValidation>
        <x14:dataValidation type="list" xr:uid="{37B71968-17D5-4A1B-A2AD-8305CC2BE13B}">
          <x14:formula1>
            <xm:f>Sheet2!F1:F22</xm:f>
          </x14:formula1>
          <xm:sqref>C172</xm:sqref>
        </x14:dataValidation>
        <x14:dataValidation type="list" xr:uid="{73A784E8-2490-4E7D-ABCF-DA388441D6C0}">
          <x14:formula1>
            <xm:f>Sheet2!F1:F22</xm:f>
          </x14:formula1>
          <xm:sqref>C173</xm:sqref>
        </x14:dataValidation>
        <x14:dataValidation type="list" xr:uid="{63A69DBE-3357-448C-A95E-C49E0EA139C3}">
          <x14:formula1>
            <xm:f>Sheet2!F1:F22</xm:f>
          </x14:formula1>
          <xm:sqref>C174</xm:sqref>
        </x14:dataValidation>
        <x14:dataValidation type="list" xr:uid="{882A62BE-0BF1-42DA-A917-7E48860E7439}">
          <x14:formula1>
            <xm:f>Sheet2!F1:F22</xm:f>
          </x14:formula1>
          <xm:sqref>C175</xm:sqref>
        </x14:dataValidation>
        <x14:dataValidation type="list" xr:uid="{AB36BC5E-46FE-4107-AB89-13EC655DF6DE}">
          <x14:formula1>
            <xm:f>Sheet2!F1:F22</xm:f>
          </x14:formula1>
          <xm:sqref>C176</xm:sqref>
        </x14:dataValidation>
        <x14:dataValidation type="list" xr:uid="{63515D50-1545-4D67-A2E4-4A77CC1DFA6E}">
          <x14:formula1>
            <xm:f>Sheet2!F1:F22</xm:f>
          </x14:formula1>
          <xm:sqref>C177</xm:sqref>
        </x14:dataValidation>
        <x14:dataValidation type="list" xr:uid="{8243F357-C733-4679-94AC-6BE72EA2728E}">
          <x14:formula1>
            <xm:f>Sheet2!F1:F22</xm:f>
          </x14:formula1>
          <xm:sqref>C178</xm:sqref>
        </x14:dataValidation>
        <x14:dataValidation type="list" xr:uid="{30631AA3-7E92-4F0C-BEC0-82CBB519057E}">
          <x14:formula1>
            <xm:f>Sheet2!F1:F22</xm:f>
          </x14:formula1>
          <xm:sqref>C179</xm:sqref>
        </x14:dataValidation>
        <x14:dataValidation type="list" xr:uid="{95DE97EB-4F34-4594-AEE9-B045B89A5286}">
          <x14:formula1>
            <xm:f>Sheet2!F1:F22</xm:f>
          </x14:formula1>
          <xm:sqref>C180</xm:sqref>
        </x14:dataValidation>
        <x14:dataValidation type="list" xr:uid="{FF1BF73D-8FC0-44B0-9A48-B1E9592C6583}">
          <x14:formula1>
            <xm:f>Sheet2!F1:F22</xm:f>
          </x14:formula1>
          <xm:sqref>C181</xm:sqref>
        </x14:dataValidation>
        <x14:dataValidation type="list" xr:uid="{61830BA2-848B-416A-B32A-4673AC684A10}">
          <x14:formula1>
            <xm:f>Sheet2!F1:F22</xm:f>
          </x14:formula1>
          <xm:sqref>C182</xm:sqref>
        </x14:dataValidation>
        <x14:dataValidation type="list" xr:uid="{0413F315-F884-4340-8592-A3BDDB5FE46E}">
          <x14:formula1>
            <xm:f>Sheet2!F1:F22</xm:f>
          </x14:formula1>
          <xm:sqref>C183</xm:sqref>
        </x14:dataValidation>
        <x14:dataValidation type="list" xr:uid="{E92C702B-7C5A-4D48-8706-595DAE4188E5}">
          <x14:formula1>
            <xm:f>Sheet2!F1:F22</xm:f>
          </x14:formula1>
          <xm:sqref>C184</xm:sqref>
        </x14:dataValidation>
        <x14:dataValidation type="list" xr:uid="{DF15BA1E-012C-4272-B448-D545DEE026E0}">
          <x14:formula1>
            <xm:f>Sheet2!F1:F22</xm:f>
          </x14:formula1>
          <xm:sqref>C185</xm:sqref>
        </x14:dataValidation>
        <x14:dataValidation type="list" xr:uid="{A0DA140E-325C-4675-95FB-DD450B6A5A52}">
          <x14:formula1>
            <xm:f>Sheet2!F1:F22</xm:f>
          </x14:formula1>
          <xm:sqref>C186</xm:sqref>
        </x14:dataValidation>
        <x14:dataValidation type="list" xr:uid="{D0387ED9-3CD0-48FF-A9B9-C4E84AD00FBF}">
          <x14:formula1>
            <xm:f>Sheet2!F1:F22</xm:f>
          </x14:formula1>
          <xm:sqref>C187</xm:sqref>
        </x14:dataValidation>
        <x14:dataValidation type="list" xr:uid="{A57BDBD7-E5B3-442C-9B8A-DF824F038356}">
          <x14:formula1>
            <xm:f>Sheet2!F1:F22</xm:f>
          </x14:formula1>
          <xm:sqref>C188</xm:sqref>
        </x14:dataValidation>
        <x14:dataValidation type="list" xr:uid="{2728FF2C-FE54-46F7-9F22-F80702E2905E}">
          <x14:formula1>
            <xm:f>Sheet2!F1:F22</xm:f>
          </x14:formula1>
          <xm:sqref>C189</xm:sqref>
        </x14:dataValidation>
        <x14:dataValidation type="list" xr:uid="{7DAFA2B9-CD58-4698-8BD1-91193785645A}">
          <x14:formula1>
            <xm:f>Sheet2!F1:F22</xm:f>
          </x14:formula1>
          <xm:sqref>C190</xm:sqref>
        </x14:dataValidation>
        <x14:dataValidation type="list" xr:uid="{1332BB32-C690-4A6F-835C-7BDE48FFC221}">
          <x14:formula1>
            <xm:f>Sheet2!F1:F22</xm:f>
          </x14:formula1>
          <xm:sqref>C191</xm:sqref>
        </x14:dataValidation>
        <x14:dataValidation type="list" xr:uid="{DC99064E-3981-4D2F-8BB6-1242E3BF2A9E}">
          <x14:formula1>
            <xm:f>Sheet2!F1:F22</xm:f>
          </x14:formula1>
          <xm:sqref>C192</xm:sqref>
        </x14:dataValidation>
        <x14:dataValidation type="list" xr:uid="{0191B97D-8865-4116-A5B9-BDF93F447EB5}">
          <x14:formula1>
            <xm:f>Sheet2!F1:F22</xm:f>
          </x14:formula1>
          <xm:sqref>C193</xm:sqref>
        </x14:dataValidation>
        <x14:dataValidation type="list" xr:uid="{B8A090A6-E127-45B1-BED6-6B4AF2BA021D}">
          <x14:formula1>
            <xm:f>Sheet2!F1:F22</xm:f>
          </x14:formula1>
          <xm:sqref>C194</xm:sqref>
        </x14:dataValidation>
        <x14:dataValidation type="list" xr:uid="{916E68F4-C548-4B50-8066-F46D0B128B82}">
          <x14:formula1>
            <xm:f>Sheet2!F1:F22</xm:f>
          </x14:formula1>
          <xm:sqref>C195</xm:sqref>
        </x14:dataValidation>
        <x14:dataValidation type="list" xr:uid="{9ABA9B4B-CADA-43D9-90B9-71DB62F1E575}">
          <x14:formula1>
            <xm:f>Sheet2!F1:F22</xm:f>
          </x14:formula1>
          <xm:sqref>C196</xm:sqref>
        </x14:dataValidation>
        <x14:dataValidation type="list" xr:uid="{FBBD21FC-09D0-4AE1-A34A-974D92266533}">
          <x14:formula1>
            <xm:f>Sheet2!F1:F22</xm:f>
          </x14:formula1>
          <xm:sqref>C197</xm:sqref>
        </x14:dataValidation>
        <x14:dataValidation type="list" xr:uid="{A51E57A2-B42B-4A68-A04E-52326E39E91D}">
          <x14:formula1>
            <xm:f>Sheet2!F1:F22</xm:f>
          </x14:formula1>
          <xm:sqref>C198</xm:sqref>
        </x14:dataValidation>
        <x14:dataValidation type="list" xr:uid="{6C4AE979-577D-4917-951E-65955EE18DBB}">
          <x14:formula1>
            <xm:f>Sheet2!F1:F22</xm:f>
          </x14:formula1>
          <xm:sqref>C199</xm:sqref>
        </x14:dataValidation>
        <x14:dataValidation type="list" xr:uid="{0F0D78FB-AA20-4829-916C-A44FBED1033F}">
          <x14:formula1>
            <xm:f>Sheet2!F1:F22</xm:f>
          </x14:formula1>
          <xm:sqref>C200</xm:sqref>
        </x14:dataValidation>
        <x14:dataValidation type="list" xr:uid="{409DAD0E-A7B1-4FED-A3D7-2EC5D9148070}">
          <x14:formula1>
            <xm:f>Sheet2!G1:G21</xm:f>
          </x14:formula1>
          <xm:sqref>D14</xm:sqref>
        </x14:dataValidation>
        <x14:dataValidation type="list" xr:uid="{9922F217-8487-4363-99B1-1C28F570AC8A}">
          <x14:formula1>
            <xm:f>Sheet2!G1:G21</xm:f>
          </x14:formula1>
          <xm:sqref>D15</xm:sqref>
        </x14:dataValidation>
        <x14:dataValidation type="list" xr:uid="{FE58D100-7676-4275-B546-49B38588DED5}">
          <x14:formula1>
            <xm:f>Sheet2!G1:G21</xm:f>
          </x14:formula1>
          <xm:sqref>D16</xm:sqref>
        </x14:dataValidation>
        <x14:dataValidation type="list" xr:uid="{0E0BE96C-B133-4978-A312-CF7100C2ADB7}">
          <x14:formula1>
            <xm:f>Sheet2!G1:G21</xm:f>
          </x14:formula1>
          <xm:sqref>D17</xm:sqref>
        </x14:dataValidation>
        <x14:dataValidation type="list" xr:uid="{7458418F-0D93-4386-A009-75AFA64ED8F7}">
          <x14:formula1>
            <xm:f>Sheet2!G1:G21</xm:f>
          </x14:formula1>
          <xm:sqref>D18</xm:sqref>
        </x14:dataValidation>
        <x14:dataValidation type="list" xr:uid="{2E29C5E4-AEF2-4CD7-9E65-71BB0E5BE202}">
          <x14:formula1>
            <xm:f>Sheet2!G1:G21</xm:f>
          </x14:formula1>
          <xm:sqref>D19</xm:sqref>
        </x14:dataValidation>
        <x14:dataValidation type="list" xr:uid="{948E0C0E-B4BB-4CA1-921C-90E2102CACCC}">
          <x14:formula1>
            <xm:f>Sheet2!G1:G21</xm:f>
          </x14:formula1>
          <xm:sqref>D20</xm:sqref>
        </x14:dataValidation>
        <x14:dataValidation type="list" xr:uid="{32BE2186-B012-4F90-A466-215BA0974C81}">
          <x14:formula1>
            <xm:f>Sheet2!G1:G21</xm:f>
          </x14:formula1>
          <xm:sqref>D21</xm:sqref>
        </x14:dataValidation>
        <x14:dataValidation type="list" xr:uid="{C51F553C-D23F-42E2-AB49-CCE50E841676}">
          <x14:formula1>
            <xm:f>Sheet2!G1:G21</xm:f>
          </x14:formula1>
          <xm:sqref>D22</xm:sqref>
        </x14:dataValidation>
        <x14:dataValidation type="list" xr:uid="{0A17C690-7CFA-4A17-85A8-C6CFD64E0788}">
          <x14:formula1>
            <xm:f>Sheet2!G1:G21</xm:f>
          </x14:formula1>
          <xm:sqref>D23</xm:sqref>
        </x14:dataValidation>
        <x14:dataValidation type="list" xr:uid="{9F5C2848-AE3C-496C-A878-1F39CFFD7DE7}">
          <x14:formula1>
            <xm:f>Sheet2!G1:G21</xm:f>
          </x14:formula1>
          <xm:sqref>D24</xm:sqref>
        </x14:dataValidation>
        <x14:dataValidation type="list" xr:uid="{41BED975-4553-4C94-94CC-EF83DA82E755}">
          <x14:formula1>
            <xm:f>Sheet2!G1:G21</xm:f>
          </x14:formula1>
          <xm:sqref>D25</xm:sqref>
        </x14:dataValidation>
        <x14:dataValidation type="list" xr:uid="{C36AC433-208F-476E-9408-C95B636B894A}">
          <x14:formula1>
            <xm:f>Sheet2!G1:G21</xm:f>
          </x14:formula1>
          <xm:sqref>D26</xm:sqref>
        </x14:dataValidation>
        <x14:dataValidation type="list" xr:uid="{24004F1A-23B9-4832-8CBE-CE92D8D42762}">
          <x14:formula1>
            <xm:f>Sheet2!G1:G21</xm:f>
          </x14:formula1>
          <xm:sqref>D27</xm:sqref>
        </x14:dataValidation>
        <x14:dataValidation type="list" xr:uid="{7C963D9B-CDEE-4261-9FF7-30057327E815}">
          <x14:formula1>
            <xm:f>Sheet2!G1:G21</xm:f>
          </x14:formula1>
          <xm:sqref>D28</xm:sqref>
        </x14:dataValidation>
        <x14:dataValidation type="list" xr:uid="{6EEF3EF3-AADA-4E91-A14C-DB9B4E42CE39}">
          <x14:formula1>
            <xm:f>Sheet2!G1:G21</xm:f>
          </x14:formula1>
          <xm:sqref>D29</xm:sqref>
        </x14:dataValidation>
        <x14:dataValidation type="list" xr:uid="{0FC210F5-9D6E-47A3-BBA8-F56CD90F57D0}">
          <x14:formula1>
            <xm:f>Sheet2!G1:G21</xm:f>
          </x14:formula1>
          <xm:sqref>D30</xm:sqref>
        </x14:dataValidation>
        <x14:dataValidation type="list" xr:uid="{04723262-F6C2-4DAC-9D1A-A0FC0A45E4E0}">
          <x14:formula1>
            <xm:f>Sheet2!G1:G21</xm:f>
          </x14:formula1>
          <xm:sqref>D31</xm:sqref>
        </x14:dataValidation>
        <x14:dataValidation type="list" xr:uid="{DC08A6FA-1D1D-4148-802C-9FAC27C554ED}">
          <x14:formula1>
            <xm:f>Sheet2!G1:G21</xm:f>
          </x14:formula1>
          <xm:sqref>D32</xm:sqref>
        </x14:dataValidation>
        <x14:dataValidation type="list" xr:uid="{D61A8581-CB06-4725-A449-E9D157E886CA}">
          <x14:formula1>
            <xm:f>Sheet2!G1:G21</xm:f>
          </x14:formula1>
          <xm:sqref>D33</xm:sqref>
        </x14:dataValidation>
        <x14:dataValidation type="list" xr:uid="{19067672-C149-46AD-AE17-24BDE75BE89E}">
          <x14:formula1>
            <xm:f>Sheet2!G1:G21</xm:f>
          </x14:formula1>
          <xm:sqref>D34</xm:sqref>
        </x14:dataValidation>
        <x14:dataValidation type="list" xr:uid="{9AF12906-457D-48B3-BD96-418AE451372B}">
          <x14:formula1>
            <xm:f>Sheet2!G1:G21</xm:f>
          </x14:formula1>
          <xm:sqref>D35</xm:sqref>
        </x14:dataValidation>
        <x14:dataValidation type="list" xr:uid="{FC7D2514-9CDF-4E2E-A14C-E0B1C142C649}">
          <x14:formula1>
            <xm:f>Sheet2!G1:G21</xm:f>
          </x14:formula1>
          <xm:sqref>D36</xm:sqref>
        </x14:dataValidation>
        <x14:dataValidation type="list" xr:uid="{2E6EE92E-86EB-431E-B1DB-9DAE926147B6}">
          <x14:formula1>
            <xm:f>Sheet2!G1:G21</xm:f>
          </x14:formula1>
          <xm:sqref>D37</xm:sqref>
        </x14:dataValidation>
        <x14:dataValidation type="list" xr:uid="{44D5C382-B4E8-46FC-A9E5-077BE1F95448}">
          <x14:formula1>
            <xm:f>Sheet2!G1:G21</xm:f>
          </x14:formula1>
          <xm:sqref>D38</xm:sqref>
        </x14:dataValidation>
        <x14:dataValidation type="list" xr:uid="{0AFFB616-AC8F-4EC3-9EEC-A993DDD86260}">
          <x14:formula1>
            <xm:f>Sheet2!G1:G21</xm:f>
          </x14:formula1>
          <xm:sqref>D39</xm:sqref>
        </x14:dataValidation>
        <x14:dataValidation type="list" xr:uid="{56064A7B-95F4-4057-9249-DD5E2D5EA52E}">
          <x14:formula1>
            <xm:f>Sheet2!G1:G21</xm:f>
          </x14:formula1>
          <xm:sqref>D40</xm:sqref>
        </x14:dataValidation>
        <x14:dataValidation type="list" xr:uid="{39A07AA7-ADDE-44C5-AF12-DA862889D456}">
          <x14:formula1>
            <xm:f>Sheet2!G1:G21</xm:f>
          </x14:formula1>
          <xm:sqref>D41</xm:sqref>
        </x14:dataValidation>
        <x14:dataValidation type="list" xr:uid="{8A9317E0-8801-42CE-9451-DCE82E1E4CBC}">
          <x14:formula1>
            <xm:f>Sheet2!G1:G21</xm:f>
          </x14:formula1>
          <xm:sqref>D42</xm:sqref>
        </x14:dataValidation>
        <x14:dataValidation type="list" xr:uid="{79E89DBA-435C-4B81-98A5-51674ED0FED2}">
          <x14:formula1>
            <xm:f>Sheet2!G1:G21</xm:f>
          </x14:formula1>
          <xm:sqref>D43</xm:sqref>
        </x14:dataValidation>
        <x14:dataValidation type="list" xr:uid="{58D5C46A-7289-4E62-9190-14FD7985BA75}">
          <x14:formula1>
            <xm:f>Sheet2!G1:G21</xm:f>
          </x14:formula1>
          <xm:sqref>D44</xm:sqref>
        </x14:dataValidation>
        <x14:dataValidation type="list" xr:uid="{B04B5269-E4DC-4712-A344-B8703C13E42C}">
          <x14:formula1>
            <xm:f>Sheet2!G1:G21</xm:f>
          </x14:formula1>
          <xm:sqref>D45</xm:sqref>
        </x14:dataValidation>
        <x14:dataValidation type="list" xr:uid="{09699895-8D53-43AC-B7D3-2D200E25EDDE}">
          <x14:formula1>
            <xm:f>Sheet2!G1:G21</xm:f>
          </x14:formula1>
          <xm:sqref>D46</xm:sqref>
        </x14:dataValidation>
        <x14:dataValidation type="list" xr:uid="{43A62818-32F6-4C31-9569-324766FF4E17}">
          <x14:formula1>
            <xm:f>Sheet2!G1:G21</xm:f>
          </x14:formula1>
          <xm:sqref>D47</xm:sqref>
        </x14:dataValidation>
        <x14:dataValidation type="list" xr:uid="{C99D8B09-0743-4C74-8212-BA10C39D96A8}">
          <x14:formula1>
            <xm:f>Sheet2!G1:G21</xm:f>
          </x14:formula1>
          <xm:sqref>D48</xm:sqref>
        </x14:dataValidation>
        <x14:dataValidation type="list" xr:uid="{9E742711-1E55-457D-8887-917DC298CDE6}">
          <x14:formula1>
            <xm:f>Sheet2!G1:G21</xm:f>
          </x14:formula1>
          <xm:sqref>D49</xm:sqref>
        </x14:dataValidation>
        <x14:dataValidation type="list" xr:uid="{324573F6-B6D0-44A6-9488-1544DEDAA897}">
          <x14:formula1>
            <xm:f>Sheet2!G1:G21</xm:f>
          </x14:formula1>
          <xm:sqref>D50</xm:sqref>
        </x14:dataValidation>
        <x14:dataValidation type="list" xr:uid="{F3FD1A8D-CE62-47E5-AAD1-2E95D2A77A1F}">
          <x14:formula1>
            <xm:f>Sheet2!G1:G21</xm:f>
          </x14:formula1>
          <xm:sqref>D51</xm:sqref>
        </x14:dataValidation>
        <x14:dataValidation type="list" xr:uid="{06E71567-7229-46FF-868F-EC5A4B2E7306}">
          <x14:formula1>
            <xm:f>Sheet2!G1:G21</xm:f>
          </x14:formula1>
          <xm:sqref>D52</xm:sqref>
        </x14:dataValidation>
        <x14:dataValidation type="list" xr:uid="{C61AAA2D-AB20-446A-80DA-9DE3E551AB00}">
          <x14:formula1>
            <xm:f>Sheet2!G1:G21</xm:f>
          </x14:formula1>
          <xm:sqref>D53</xm:sqref>
        </x14:dataValidation>
        <x14:dataValidation type="list" xr:uid="{6C1FDCE9-9212-4E86-8432-1F23B3A1ADE0}">
          <x14:formula1>
            <xm:f>Sheet2!G1:G21</xm:f>
          </x14:formula1>
          <xm:sqref>D54</xm:sqref>
        </x14:dataValidation>
        <x14:dataValidation type="list" xr:uid="{0AEB07F4-20BC-44D9-B590-D5029BEC9DD2}">
          <x14:formula1>
            <xm:f>Sheet2!G1:G21</xm:f>
          </x14:formula1>
          <xm:sqref>D55</xm:sqref>
        </x14:dataValidation>
        <x14:dataValidation type="list" xr:uid="{A15E0564-91C0-4140-B6E0-4E33D5C676B2}">
          <x14:formula1>
            <xm:f>Sheet2!G1:G21</xm:f>
          </x14:formula1>
          <xm:sqref>D56</xm:sqref>
        </x14:dataValidation>
        <x14:dataValidation type="list" xr:uid="{B743EF36-AF6D-4351-9269-365092F8293B}">
          <x14:formula1>
            <xm:f>Sheet2!G1:G21</xm:f>
          </x14:formula1>
          <xm:sqref>D57</xm:sqref>
        </x14:dataValidation>
        <x14:dataValidation type="list" xr:uid="{9630E05E-1271-417E-83EB-C3AC4B55EFD4}">
          <x14:formula1>
            <xm:f>Sheet2!G1:G21</xm:f>
          </x14:formula1>
          <xm:sqref>D58</xm:sqref>
        </x14:dataValidation>
        <x14:dataValidation type="list" xr:uid="{E552A2C2-9576-45B5-A093-080492CC4BF3}">
          <x14:formula1>
            <xm:f>Sheet2!G1:G21</xm:f>
          </x14:formula1>
          <xm:sqref>D59</xm:sqref>
        </x14:dataValidation>
        <x14:dataValidation type="list" xr:uid="{BA8B2884-42D8-4CAE-BCBB-29966E479BDE}">
          <x14:formula1>
            <xm:f>Sheet2!G1:G21</xm:f>
          </x14:formula1>
          <xm:sqref>D60</xm:sqref>
        </x14:dataValidation>
        <x14:dataValidation type="list" xr:uid="{986B9DB9-FE06-40ED-B081-750B7AA9D390}">
          <x14:formula1>
            <xm:f>Sheet2!G1:G21</xm:f>
          </x14:formula1>
          <xm:sqref>D61</xm:sqref>
        </x14:dataValidation>
        <x14:dataValidation type="list" xr:uid="{2A14EA23-AD18-420E-8ABB-82BCE4E27AB6}">
          <x14:formula1>
            <xm:f>Sheet2!G1:G21</xm:f>
          </x14:formula1>
          <xm:sqref>D62</xm:sqref>
        </x14:dataValidation>
        <x14:dataValidation type="list" xr:uid="{F7C9FE78-55D9-4CB7-ABFC-AED9C2FC0F6B}">
          <x14:formula1>
            <xm:f>Sheet2!G1:G21</xm:f>
          </x14:formula1>
          <xm:sqref>D63</xm:sqref>
        </x14:dataValidation>
        <x14:dataValidation type="list" xr:uid="{587DD532-FC1E-475A-9D98-A035AB7D810E}">
          <x14:formula1>
            <xm:f>Sheet2!G1:G21</xm:f>
          </x14:formula1>
          <xm:sqref>D64</xm:sqref>
        </x14:dataValidation>
        <x14:dataValidation type="list" xr:uid="{64DCAB5F-7B82-4B70-8F84-CA8CC25436CC}">
          <x14:formula1>
            <xm:f>Sheet2!G1:G21</xm:f>
          </x14:formula1>
          <xm:sqref>D65</xm:sqref>
        </x14:dataValidation>
        <x14:dataValidation type="list" xr:uid="{C8973A7B-3E6B-48D7-BEB7-961D0E026CA1}">
          <x14:formula1>
            <xm:f>Sheet2!G1:G21</xm:f>
          </x14:formula1>
          <xm:sqref>D66</xm:sqref>
        </x14:dataValidation>
        <x14:dataValidation type="list" xr:uid="{2EFC99AE-0B47-4F7F-850C-E9FDDCC79B2D}">
          <x14:formula1>
            <xm:f>Sheet2!G1:G21</xm:f>
          </x14:formula1>
          <xm:sqref>D67</xm:sqref>
        </x14:dataValidation>
        <x14:dataValidation type="list" xr:uid="{E8F457EF-7DF7-4ECF-9979-EB110641E6D4}">
          <x14:formula1>
            <xm:f>Sheet2!G1:G21</xm:f>
          </x14:formula1>
          <xm:sqref>D68</xm:sqref>
        </x14:dataValidation>
        <x14:dataValidation type="list" xr:uid="{18332E45-318C-4032-9DFB-148038D5A138}">
          <x14:formula1>
            <xm:f>Sheet2!G1:G21</xm:f>
          </x14:formula1>
          <xm:sqref>D69</xm:sqref>
        </x14:dataValidation>
        <x14:dataValidation type="list" xr:uid="{8BE9C829-ED36-45D9-BD4D-3072192D89F9}">
          <x14:formula1>
            <xm:f>Sheet2!G1:G21</xm:f>
          </x14:formula1>
          <xm:sqref>D70</xm:sqref>
        </x14:dataValidation>
        <x14:dataValidation type="list" xr:uid="{71A843AB-612C-409E-AAEE-3EE269FDDB5A}">
          <x14:formula1>
            <xm:f>Sheet2!G1:G21</xm:f>
          </x14:formula1>
          <xm:sqref>D71</xm:sqref>
        </x14:dataValidation>
        <x14:dataValidation type="list" xr:uid="{96146F69-A9AA-4CCE-9A77-FCD8172E1C5A}">
          <x14:formula1>
            <xm:f>Sheet2!G1:G21</xm:f>
          </x14:formula1>
          <xm:sqref>D72</xm:sqref>
        </x14:dataValidation>
        <x14:dataValidation type="list" xr:uid="{50ED66AA-B08D-4B70-8417-83E781D08153}">
          <x14:formula1>
            <xm:f>Sheet2!G1:G21</xm:f>
          </x14:formula1>
          <xm:sqref>D73</xm:sqref>
        </x14:dataValidation>
        <x14:dataValidation type="list" xr:uid="{E606B92B-C1F9-4F7E-9220-465E0D7B3AD1}">
          <x14:formula1>
            <xm:f>Sheet2!G1:G21</xm:f>
          </x14:formula1>
          <xm:sqref>D74</xm:sqref>
        </x14:dataValidation>
        <x14:dataValidation type="list" xr:uid="{B0B7FE13-FA57-433A-8283-CC0E3F9F78D8}">
          <x14:formula1>
            <xm:f>Sheet2!G1:G21</xm:f>
          </x14:formula1>
          <xm:sqref>D75</xm:sqref>
        </x14:dataValidation>
        <x14:dataValidation type="list" xr:uid="{486235C1-58D4-4422-A151-AF9B102A1967}">
          <x14:formula1>
            <xm:f>Sheet2!G1:G21</xm:f>
          </x14:formula1>
          <xm:sqref>D76</xm:sqref>
        </x14:dataValidation>
        <x14:dataValidation type="list" xr:uid="{33A91384-D238-4A9D-9F8A-3BFF0B31E0A4}">
          <x14:formula1>
            <xm:f>Sheet2!G1:G21</xm:f>
          </x14:formula1>
          <xm:sqref>D77</xm:sqref>
        </x14:dataValidation>
        <x14:dataValidation type="list" xr:uid="{BE14EE5B-45DF-43AB-87D8-637775A38D98}">
          <x14:formula1>
            <xm:f>Sheet2!G1:G21</xm:f>
          </x14:formula1>
          <xm:sqref>D78</xm:sqref>
        </x14:dataValidation>
        <x14:dataValidation type="list" xr:uid="{F1A06995-D6BD-455F-A029-13683689E84B}">
          <x14:formula1>
            <xm:f>Sheet2!G1:G21</xm:f>
          </x14:formula1>
          <xm:sqref>D79</xm:sqref>
        </x14:dataValidation>
        <x14:dataValidation type="list" xr:uid="{56DCD938-F976-45F4-A2E8-CC69B50E057D}">
          <x14:formula1>
            <xm:f>Sheet2!G1:G21</xm:f>
          </x14:formula1>
          <xm:sqref>D80</xm:sqref>
        </x14:dataValidation>
        <x14:dataValidation type="list" xr:uid="{DCD0DEF5-0999-4988-BB48-B25C766DF19E}">
          <x14:formula1>
            <xm:f>Sheet2!G1:G21</xm:f>
          </x14:formula1>
          <xm:sqref>D81</xm:sqref>
        </x14:dataValidation>
        <x14:dataValidation type="list" xr:uid="{0FED4DB7-E76C-4C98-A13E-8E747D4B45B4}">
          <x14:formula1>
            <xm:f>Sheet2!G1:G21</xm:f>
          </x14:formula1>
          <xm:sqref>D82</xm:sqref>
        </x14:dataValidation>
        <x14:dataValidation type="list" xr:uid="{E2006C04-9CE7-4953-8768-F1596BCBB664}">
          <x14:formula1>
            <xm:f>Sheet2!G1:G21</xm:f>
          </x14:formula1>
          <xm:sqref>D83</xm:sqref>
        </x14:dataValidation>
        <x14:dataValidation type="list" xr:uid="{136BE1B0-6062-480F-8D74-65DA113A8C6C}">
          <x14:formula1>
            <xm:f>Sheet2!G1:G21</xm:f>
          </x14:formula1>
          <xm:sqref>D84</xm:sqref>
        </x14:dataValidation>
        <x14:dataValidation type="list" xr:uid="{BA24746D-5F87-4C19-A99F-6C85F17C8118}">
          <x14:formula1>
            <xm:f>Sheet2!G1:G21</xm:f>
          </x14:formula1>
          <xm:sqref>D85</xm:sqref>
        </x14:dataValidation>
        <x14:dataValidation type="list" xr:uid="{BF9C915B-AF1E-4218-8972-8905A79CBA79}">
          <x14:formula1>
            <xm:f>Sheet2!G1:G21</xm:f>
          </x14:formula1>
          <xm:sqref>D86</xm:sqref>
        </x14:dataValidation>
        <x14:dataValidation type="list" xr:uid="{D2DCBABA-52E6-43C8-A873-33DBE022C33B}">
          <x14:formula1>
            <xm:f>Sheet2!G1:G21</xm:f>
          </x14:formula1>
          <xm:sqref>D87</xm:sqref>
        </x14:dataValidation>
        <x14:dataValidation type="list" xr:uid="{1E9EC38C-E301-44B2-B0D4-04B29CAAC052}">
          <x14:formula1>
            <xm:f>Sheet2!G1:G21</xm:f>
          </x14:formula1>
          <xm:sqref>D88</xm:sqref>
        </x14:dataValidation>
        <x14:dataValidation type="list" xr:uid="{4B80E6AE-FAE5-4E30-93C3-60F38E651E95}">
          <x14:formula1>
            <xm:f>Sheet2!G1:G21</xm:f>
          </x14:formula1>
          <xm:sqref>D89</xm:sqref>
        </x14:dataValidation>
        <x14:dataValidation type="list" xr:uid="{A4D07BAC-E811-4E66-8FB3-D49681B7AC2D}">
          <x14:formula1>
            <xm:f>Sheet2!G1:G21</xm:f>
          </x14:formula1>
          <xm:sqref>D90</xm:sqref>
        </x14:dataValidation>
        <x14:dataValidation type="list" xr:uid="{21EB4D15-B27F-4863-A780-1632F47E7C8C}">
          <x14:formula1>
            <xm:f>Sheet2!G1:G21</xm:f>
          </x14:formula1>
          <xm:sqref>D91</xm:sqref>
        </x14:dataValidation>
        <x14:dataValidation type="list" xr:uid="{75F40C9A-EE2B-4FDB-90FC-8761EA8F2B40}">
          <x14:formula1>
            <xm:f>Sheet2!G1:G21</xm:f>
          </x14:formula1>
          <xm:sqref>D92</xm:sqref>
        </x14:dataValidation>
        <x14:dataValidation type="list" xr:uid="{047DBF03-2C67-4587-A968-B7B7AA0237D8}">
          <x14:formula1>
            <xm:f>Sheet2!G1:G21</xm:f>
          </x14:formula1>
          <xm:sqref>D93</xm:sqref>
        </x14:dataValidation>
        <x14:dataValidation type="list" xr:uid="{4CA9EF43-6173-4F10-AAE7-6FE3E6418B6D}">
          <x14:formula1>
            <xm:f>Sheet2!G1:G21</xm:f>
          </x14:formula1>
          <xm:sqref>D94</xm:sqref>
        </x14:dataValidation>
        <x14:dataValidation type="list" xr:uid="{B6F52EEF-DCB3-4FBA-AA98-FDAC9DD07629}">
          <x14:formula1>
            <xm:f>Sheet2!G1:G21</xm:f>
          </x14:formula1>
          <xm:sqref>D95</xm:sqref>
        </x14:dataValidation>
        <x14:dataValidation type="list" xr:uid="{4E10C154-B022-4371-953E-16DAD0940D1C}">
          <x14:formula1>
            <xm:f>Sheet2!G1:G21</xm:f>
          </x14:formula1>
          <xm:sqref>D96</xm:sqref>
        </x14:dataValidation>
        <x14:dataValidation type="list" xr:uid="{3E30BE79-A0D5-4AC6-B6B1-C8EDBB756763}">
          <x14:formula1>
            <xm:f>Sheet2!G1:G21</xm:f>
          </x14:formula1>
          <xm:sqref>D97</xm:sqref>
        </x14:dataValidation>
        <x14:dataValidation type="list" xr:uid="{E0834B95-223A-4009-9AB5-4FD359D2A4D5}">
          <x14:formula1>
            <xm:f>Sheet2!G1:G21</xm:f>
          </x14:formula1>
          <xm:sqref>D98</xm:sqref>
        </x14:dataValidation>
        <x14:dataValidation type="list" xr:uid="{01CE9589-C804-4B52-B7E1-3B851A0C3A0B}">
          <x14:formula1>
            <xm:f>Sheet2!G1:G21</xm:f>
          </x14:formula1>
          <xm:sqref>D99</xm:sqref>
        </x14:dataValidation>
        <x14:dataValidation type="list" xr:uid="{DFD8D5B0-0853-42F5-B678-453A56343829}">
          <x14:formula1>
            <xm:f>Sheet2!G1:G21</xm:f>
          </x14:formula1>
          <xm:sqref>D100</xm:sqref>
        </x14:dataValidation>
        <x14:dataValidation type="list" xr:uid="{7CDF016B-8C4C-4DA5-BB0B-551D6F6A2DF9}">
          <x14:formula1>
            <xm:f>Sheet2!G1:G21</xm:f>
          </x14:formula1>
          <xm:sqref>D101</xm:sqref>
        </x14:dataValidation>
        <x14:dataValidation type="list" xr:uid="{46B7E813-C41D-4292-94AC-2CC7AF82DD57}">
          <x14:formula1>
            <xm:f>Sheet2!G1:G21</xm:f>
          </x14:formula1>
          <xm:sqref>D102</xm:sqref>
        </x14:dataValidation>
        <x14:dataValidation type="list" xr:uid="{4A6DAC18-AFA5-4F70-B442-577B0A32B77D}">
          <x14:formula1>
            <xm:f>Sheet2!G1:G21</xm:f>
          </x14:formula1>
          <xm:sqref>D103</xm:sqref>
        </x14:dataValidation>
        <x14:dataValidation type="list" xr:uid="{6F03F1D1-CF44-4AF0-B500-CDDCDA3C51CE}">
          <x14:formula1>
            <xm:f>Sheet2!G1:G21</xm:f>
          </x14:formula1>
          <xm:sqref>D104</xm:sqref>
        </x14:dataValidation>
        <x14:dataValidation type="list" xr:uid="{048AD1B0-C73D-4895-9A89-0E16BDDFA236}">
          <x14:formula1>
            <xm:f>Sheet2!G1:G21</xm:f>
          </x14:formula1>
          <xm:sqref>D105</xm:sqref>
        </x14:dataValidation>
        <x14:dataValidation type="list" xr:uid="{6A1B6118-8161-4635-AF03-90B5DDE883B1}">
          <x14:formula1>
            <xm:f>Sheet2!G1:G21</xm:f>
          </x14:formula1>
          <xm:sqref>D106</xm:sqref>
        </x14:dataValidation>
        <x14:dataValidation type="list" xr:uid="{3E1B8091-9189-46D0-B9A4-34BB37DECA74}">
          <x14:formula1>
            <xm:f>Sheet2!G1:G21</xm:f>
          </x14:formula1>
          <xm:sqref>D107</xm:sqref>
        </x14:dataValidation>
        <x14:dataValidation type="list" xr:uid="{6D3C831A-7D2F-4AE3-9507-5FEA616BBAD9}">
          <x14:formula1>
            <xm:f>Sheet2!G1:G21</xm:f>
          </x14:formula1>
          <xm:sqref>D108</xm:sqref>
        </x14:dataValidation>
        <x14:dataValidation type="list" xr:uid="{BA944035-6DC2-47E2-922B-4452B8B69D92}">
          <x14:formula1>
            <xm:f>Sheet2!G1:G21</xm:f>
          </x14:formula1>
          <xm:sqref>D109</xm:sqref>
        </x14:dataValidation>
        <x14:dataValidation type="list" xr:uid="{F24DDF8F-AF50-4A8C-9229-1A3B0BE8D876}">
          <x14:formula1>
            <xm:f>Sheet2!G1:G21</xm:f>
          </x14:formula1>
          <xm:sqref>D110</xm:sqref>
        </x14:dataValidation>
        <x14:dataValidation type="list" xr:uid="{707AEA32-E617-4FB1-A858-FD6A05D229F3}">
          <x14:formula1>
            <xm:f>Sheet2!G1:G21</xm:f>
          </x14:formula1>
          <xm:sqref>D111</xm:sqref>
        </x14:dataValidation>
        <x14:dataValidation type="list" xr:uid="{00BA7B6B-A4FE-4F0F-9E83-38E9888C296F}">
          <x14:formula1>
            <xm:f>Sheet2!G1:G21</xm:f>
          </x14:formula1>
          <xm:sqref>D112</xm:sqref>
        </x14:dataValidation>
        <x14:dataValidation type="list" xr:uid="{6A68E8C6-DDA7-46DD-8D70-AE38FB0B10B9}">
          <x14:formula1>
            <xm:f>Sheet2!G1:G21</xm:f>
          </x14:formula1>
          <xm:sqref>D113</xm:sqref>
        </x14:dataValidation>
        <x14:dataValidation type="list" xr:uid="{D9BC25A9-01FB-456C-8966-EFCBA1A56AF4}">
          <x14:formula1>
            <xm:f>Sheet2!G1:G21</xm:f>
          </x14:formula1>
          <xm:sqref>D114</xm:sqref>
        </x14:dataValidation>
        <x14:dataValidation type="list" xr:uid="{BC065475-3188-4BA3-8E01-F5E484CB0AE8}">
          <x14:formula1>
            <xm:f>Sheet2!G1:G21</xm:f>
          </x14:formula1>
          <xm:sqref>D115</xm:sqref>
        </x14:dataValidation>
        <x14:dataValidation type="list" xr:uid="{0DF87506-BAFE-4EB7-A817-85E5F20ED2E3}">
          <x14:formula1>
            <xm:f>Sheet2!G1:G21</xm:f>
          </x14:formula1>
          <xm:sqref>D116</xm:sqref>
        </x14:dataValidation>
        <x14:dataValidation type="list" xr:uid="{697CD17B-DA54-4FFD-A409-B496D4362F78}">
          <x14:formula1>
            <xm:f>Sheet2!G1:G21</xm:f>
          </x14:formula1>
          <xm:sqref>D117</xm:sqref>
        </x14:dataValidation>
        <x14:dataValidation type="list" xr:uid="{9138C867-C367-49F1-B014-68D00982FF95}">
          <x14:formula1>
            <xm:f>Sheet2!G1:G21</xm:f>
          </x14:formula1>
          <xm:sqref>D118</xm:sqref>
        </x14:dataValidation>
        <x14:dataValidation type="list" xr:uid="{BA2BCA44-F35D-4D6C-A3D7-E9FEBA92E297}">
          <x14:formula1>
            <xm:f>Sheet2!G1:G21</xm:f>
          </x14:formula1>
          <xm:sqref>D119</xm:sqref>
        </x14:dataValidation>
        <x14:dataValidation type="list" xr:uid="{2A8D5D25-9955-41CA-83CD-C1532BBBA0C9}">
          <x14:formula1>
            <xm:f>Sheet2!G1:G21</xm:f>
          </x14:formula1>
          <xm:sqref>D120</xm:sqref>
        </x14:dataValidation>
        <x14:dataValidation type="list" xr:uid="{C0C9F3A8-294D-4CDB-AC6A-1302EE5570A8}">
          <x14:formula1>
            <xm:f>Sheet2!G1:G21</xm:f>
          </x14:formula1>
          <xm:sqref>D121</xm:sqref>
        </x14:dataValidation>
        <x14:dataValidation type="list" xr:uid="{8C42AEDC-8AF8-43B1-8748-503D2743EF27}">
          <x14:formula1>
            <xm:f>Sheet2!G1:G21</xm:f>
          </x14:formula1>
          <xm:sqref>D122</xm:sqref>
        </x14:dataValidation>
        <x14:dataValidation type="list" xr:uid="{641C3B99-2F05-4017-8F30-1218406F0263}">
          <x14:formula1>
            <xm:f>Sheet2!G1:G21</xm:f>
          </x14:formula1>
          <xm:sqref>D123</xm:sqref>
        </x14:dataValidation>
        <x14:dataValidation type="list" xr:uid="{D426E2CD-6AC0-4B9C-871C-25FBBEB168BC}">
          <x14:formula1>
            <xm:f>Sheet2!G1:G21</xm:f>
          </x14:formula1>
          <xm:sqref>D124</xm:sqref>
        </x14:dataValidation>
        <x14:dataValidation type="list" xr:uid="{679648B4-D431-485A-B12B-B2BE67215565}">
          <x14:formula1>
            <xm:f>Sheet2!G1:G21</xm:f>
          </x14:formula1>
          <xm:sqref>D125</xm:sqref>
        </x14:dataValidation>
        <x14:dataValidation type="list" xr:uid="{B2EDBF0F-A12A-438D-8216-69C48108664F}">
          <x14:formula1>
            <xm:f>Sheet2!G1:G21</xm:f>
          </x14:formula1>
          <xm:sqref>D126</xm:sqref>
        </x14:dataValidation>
        <x14:dataValidation type="list" xr:uid="{F8D6C7AF-EEF7-4BBA-9A58-30A95AF6DE58}">
          <x14:formula1>
            <xm:f>Sheet2!G1:G21</xm:f>
          </x14:formula1>
          <xm:sqref>D127</xm:sqref>
        </x14:dataValidation>
        <x14:dataValidation type="list" xr:uid="{884BE295-90B1-48A0-AC12-4752ABD6224F}">
          <x14:formula1>
            <xm:f>Sheet2!G1:G21</xm:f>
          </x14:formula1>
          <xm:sqref>D128</xm:sqref>
        </x14:dataValidation>
        <x14:dataValidation type="list" xr:uid="{CEDFE6FC-4443-4DBE-8F30-D7893D376C1D}">
          <x14:formula1>
            <xm:f>Sheet2!G1:G21</xm:f>
          </x14:formula1>
          <xm:sqref>D129</xm:sqref>
        </x14:dataValidation>
        <x14:dataValidation type="list" xr:uid="{366A03F6-C2F4-405D-9518-4F204C9DC9F6}">
          <x14:formula1>
            <xm:f>Sheet2!G1:G21</xm:f>
          </x14:formula1>
          <xm:sqref>D130</xm:sqref>
        </x14:dataValidation>
        <x14:dataValidation type="list" xr:uid="{105C7CE6-6302-473F-9CFF-9FB31D8E389A}">
          <x14:formula1>
            <xm:f>Sheet2!G1:G21</xm:f>
          </x14:formula1>
          <xm:sqref>D131</xm:sqref>
        </x14:dataValidation>
        <x14:dataValidation type="list" xr:uid="{3E5337BA-B291-4DBF-B11F-84A332F8FEC7}">
          <x14:formula1>
            <xm:f>Sheet2!G1:G21</xm:f>
          </x14:formula1>
          <xm:sqref>D132</xm:sqref>
        </x14:dataValidation>
        <x14:dataValidation type="list" xr:uid="{97D900D0-DA19-42FD-A53D-070298F37B51}">
          <x14:formula1>
            <xm:f>Sheet2!G1:G21</xm:f>
          </x14:formula1>
          <xm:sqref>D133</xm:sqref>
        </x14:dataValidation>
        <x14:dataValidation type="list" xr:uid="{F9C21A02-68BE-4482-B025-E07EEDD8D55B}">
          <x14:formula1>
            <xm:f>Sheet2!G1:G21</xm:f>
          </x14:formula1>
          <xm:sqref>D134</xm:sqref>
        </x14:dataValidation>
        <x14:dataValidation type="list" xr:uid="{C0885ACD-C085-4FCF-A03D-4DE4DF063ABD}">
          <x14:formula1>
            <xm:f>Sheet2!G1:G21</xm:f>
          </x14:formula1>
          <xm:sqref>D135</xm:sqref>
        </x14:dataValidation>
        <x14:dataValidation type="list" xr:uid="{368F612E-EC64-44DE-9E4A-4CF0BB41D145}">
          <x14:formula1>
            <xm:f>Sheet2!G1:G21</xm:f>
          </x14:formula1>
          <xm:sqref>D136</xm:sqref>
        </x14:dataValidation>
        <x14:dataValidation type="list" xr:uid="{C20DC4BB-D980-4F52-ABD3-3E364FD041E1}">
          <x14:formula1>
            <xm:f>Sheet2!G1:G21</xm:f>
          </x14:formula1>
          <xm:sqref>D137</xm:sqref>
        </x14:dataValidation>
        <x14:dataValidation type="list" xr:uid="{A82FA2C1-4928-4B6E-8FD3-FF4201D448C7}">
          <x14:formula1>
            <xm:f>Sheet2!G1:G21</xm:f>
          </x14:formula1>
          <xm:sqref>D138</xm:sqref>
        </x14:dataValidation>
        <x14:dataValidation type="list" xr:uid="{AE44330E-FCC5-4B3E-8F1F-1F39DB57F9F5}">
          <x14:formula1>
            <xm:f>Sheet2!G1:G21</xm:f>
          </x14:formula1>
          <xm:sqref>D139</xm:sqref>
        </x14:dataValidation>
        <x14:dataValidation type="list" xr:uid="{3D01454A-2679-482E-A52F-3964F7462D3E}">
          <x14:formula1>
            <xm:f>Sheet2!G1:G21</xm:f>
          </x14:formula1>
          <xm:sqref>D140</xm:sqref>
        </x14:dataValidation>
        <x14:dataValidation type="list" xr:uid="{1AFAD62B-016A-476C-99D7-43E0609D23E2}">
          <x14:formula1>
            <xm:f>Sheet2!G1:G21</xm:f>
          </x14:formula1>
          <xm:sqref>D141</xm:sqref>
        </x14:dataValidation>
        <x14:dataValidation type="list" xr:uid="{B215D06E-A73B-4885-A6B7-F0498D91F2A1}">
          <x14:formula1>
            <xm:f>Sheet2!G1:G21</xm:f>
          </x14:formula1>
          <xm:sqref>D142</xm:sqref>
        </x14:dataValidation>
        <x14:dataValidation type="list" xr:uid="{CEC9BE4F-BC6C-436B-93CE-5FBC40B0C1E2}">
          <x14:formula1>
            <xm:f>Sheet2!G1:G21</xm:f>
          </x14:formula1>
          <xm:sqref>D143</xm:sqref>
        </x14:dataValidation>
        <x14:dataValidation type="list" xr:uid="{BD577493-EAA9-4259-AF16-0E186527C9EB}">
          <x14:formula1>
            <xm:f>Sheet2!G1:G21</xm:f>
          </x14:formula1>
          <xm:sqref>D144</xm:sqref>
        </x14:dataValidation>
        <x14:dataValidation type="list" xr:uid="{5EA94952-E8E5-4257-9A07-EF6F17A75559}">
          <x14:formula1>
            <xm:f>Sheet2!G1:G21</xm:f>
          </x14:formula1>
          <xm:sqref>D145</xm:sqref>
        </x14:dataValidation>
        <x14:dataValidation type="list" xr:uid="{38CBD6EC-BDDB-4CDB-A295-2A30040F2438}">
          <x14:formula1>
            <xm:f>Sheet2!G1:G21</xm:f>
          </x14:formula1>
          <xm:sqref>D146</xm:sqref>
        </x14:dataValidation>
        <x14:dataValidation type="list" xr:uid="{D7534229-2FAC-4C42-B11F-689D8A1D13C2}">
          <x14:formula1>
            <xm:f>Sheet2!G1:G21</xm:f>
          </x14:formula1>
          <xm:sqref>D147</xm:sqref>
        </x14:dataValidation>
        <x14:dataValidation type="list" xr:uid="{7E933C9A-05BF-400D-9CDE-B0762E4AE2EE}">
          <x14:formula1>
            <xm:f>Sheet2!G1:G21</xm:f>
          </x14:formula1>
          <xm:sqref>D148</xm:sqref>
        </x14:dataValidation>
        <x14:dataValidation type="list" xr:uid="{07C03470-6289-4B08-A7B5-B012E16056E9}">
          <x14:formula1>
            <xm:f>Sheet2!G1:G21</xm:f>
          </x14:formula1>
          <xm:sqref>D149</xm:sqref>
        </x14:dataValidation>
        <x14:dataValidation type="list" xr:uid="{1ED12CB3-8BEF-4BD7-A975-D2A1EE466876}">
          <x14:formula1>
            <xm:f>Sheet2!G1:G21</xm:f>
          </x14:formula1>
          <xm:sqref>D150</xm:sqref>
        </x14:dataValidation>
        <x14:dataValidation type="list" xr:uid="{9DE9B657-BF68-47E2-9887-F860EF7D7F95}">
          <x14:formula1>
            <xm:f>Sheet2!G1:G21</xm:f>
          </x14:formula1>
          <xm:sqref>D151</xm:sqref>
        </x14:dataValidation>
        <x14:dataValidation type="list" xr:uid="{65C4FF64-DCBD-4333-877F-5FFB0B048F33}">
          <x14:formula1>
            <xm:f>Sheet2!G1:G21</xm:f>
          </x14:formula1>
          <xm:sqref>D152</xm:sqref>
        </x14:dataValidation>
        <x14:dataValidation type="list" xr:uid="{FC1D605D-DD05-45A6-ABAF-88B1FB06E47E}">
          <x14:formula1>
            <xm:f>Sheet2!G1:G21</xm:f>
          </x14:formula1>
          <xm:sqref>D153</xm:sqref>
        </x14:dataValidation>
        <x14:dataValidation type="list" xr:uid="{CECFFE30-91C0-4AEE-AFFE-3E001C721446}">
          <x14:formula1>
            <xm:f>Sheet2!G1:G21</xm:f>
          </x14:formula1>
          <xm:sqref>D154</xm:sqref>
        </x14:dataValidation>
        <x14:dataValidation type="list" xr:uid="{69A0108C-0335-49F9-83BA-29DE98C880A3}">
          <x14:formula1>
            <xm:f>Sheet2!G1:G21</xm:f>
          </x14:formula1>
          <xm:sqref>D155</xm:sqref>
        </x14:dataValidation>
        <x14:dataValidation type="list" xr:uid="{5C9BD6C7-7D35-4110-8B6A-F2EE11033135}">
          <x14:formula1>
            <xm:f>Sheet2!G1:G21</xm:f>
          </x14:formula1>
          <xm:sqref>D156</xm:sqref>
        </x14:dataValidation>
        <x14:dataValidation type="list" xr:uid="{7768DD83-15F5-4A27-8B0C-C1DCF7A3C315}">
          <x14:formula1>
            <xm:f>Sheet2!G1:G21</xm:f>
          </x14:formula1>
          <xm:sqref>D157</xm:sqref>
        </x14:dataValidation>
        <x14:dataValidation type="list" xr:uid="{1DE0BD1C-C1A3-4437-9EDE-BA44673E3875}">
          <x14:formula1>
            <xm:f>Sheet2!G1:G21</xm:f>
          </x14:formula1>
          <xm:sqref>D158</xm:sqref>
        </x14:dataValidation>
        <x14:dataValidation type="list" xr:uid="{DA8C7B86-89F5-4E7C-A06A-4A99F308D6BF}">
          <x14:formula1>
            <xm:f>Sheet2!G1:G21</xm:f>
          </x14:formula1>
          <xm:sqref>D159</xm:sqref>
        </x14:dataValidation>
        <x14:dataValidation type="list" xr:uid="{E5F5DC2F-600E-4326-AAAD-4CB0890C6BA0}">
          <x14:formula1>
            <xm:f>Sheet2!G1:G21</xm:f>
          </x14:formula1>
          <xm:sqref>D160</xm:sqref>
        </x14:dataValidation>
        <x14:dataValidation type="list" xr:uid="{A60FA07C-73CA-4744-8B25-B94B7BB33AFC}">
          <x14:formula1>
            <xm:f>Sheet2!G1:G21</xm:f>
          </x14:formula1>
          <xm:sqref>D161</xm:sqref>
        </x14:dataValidation>
        <x14:dataValidation type="list" xr:uid="{3D4BDCAA-D8D2-4594-B780-BD50A10D6AB3}">
          <x14:formula1>
            <xm:f>Sheet2!G1:G21</xm:f>
          </x14:formula1>
          <xm:sqref>D162</xm:sqref>
        </x14:dataValidation>
        <x14:dataValidation type="list" xr:uid="{3DA7620C-E691-4CE3-AB15-6A825118E337}">
          <x14:formula1>
            <xm:f>Sheet2!G1:G21</xm:f>
          </x14:formula1>
          <xm:sqref>D163</xm:sqref>
        </x14:dataValidation>
        <x14:dataValidation type="list" xr:uid="{B22CE245-6A19-4FA8-A761-74C0312EF74C}">
          <x14:formula1>
            <xm:f>Sheet2!G1:G21</xm:f>
          </x14:formula1>
          <xm:sqref>D164</xm:sqref>
        </x14:dataValidation>
        <x14:dataValidation type="list" xr:uid="{D882F4F6-4A53-411B-9495-C0B0EB607D7E}">
          <x14:formula1>
            <xm:f>Sheet2!G1:G21</xm:f>
          </x14:formula1>
          <xm:sqref>D165</xm:sqref>
        </x14:dataValidation>
        <x14:dataValidation type="list" xr:uid="{724622D4-F4A4-4441-89C5-172B5330AFFA}">
          <x14:formula1>
            <xm:f>Sheet2!G1:G21</xm:f>
          </x14:formula1>
          <xm:sqref>D166</xm:sqref>
        </x14:dataValidation>
        <x14:dataValidation type="list" xr:uid="{AC80AB00-E68F-474C-A3C2-F26E643277E6}">
          <x14:formula1>
            <xm:f>Sheet2!G1:G21</xm:f>
          </x14:formula1>
          <xm:sqref>D167</xm:sqref>
        </x14:dataValidation>
        <x14:dataValidation type="list" xr:uid="{C7891CC2-BA31-4E43-8D1E-7AC6A90DBD9D}">
          <x14:formula1>
            <xm:f>Sheet2!G1:G21</xm:f>
          </x14:formula1>
          <xm:sqref>D168</xm:sqref>
        </x14:dataValidation>
        <x14:dataValidation type="list" xr:uid="{0CF72098-C242-4FC5-8D89-44634A8E4F8B}">
          <x14:formula1>
            <xm:f>Sheet2!G1:G21</xm:f>
          </x14:formula1>
          <xm:sqref>D169</xm:sqref>
        </x14:dataValidation>
        <x14:dataValidation type="list" xr:uid="{0FDA0393-AE65-4E79-AD2E-F4F1CA8AEA6D}">
          <x14:formula1>
            <xm:f>Sheet2!G1:G21</xm:f>
          </x14:formula1>
          <xm:sqref>D170</xm:sqref>
        </x14:dataValidation>
        <x14:dataValidation type="list" xr:uid="{F2CB1572-93AA-4B89-A422-0DDAFACF04A5}">
          <x14:formula1>
            <xm:f>Sheet2!G1:G21</xm:f>
          </x14:formula1>
          <xm:sqref>D171</xm:sqref>
        </x14:dataValidation>
        <x14:dataValidation type="list" xr:uid="{38872955-91E5-49C5-8F0D-A3729408BC2B}">
          <x14:formula1>
            <xm:f>Sheet2!G1:G21</xm:f>
          </x14:formula1>
          <xm:sqref>D172</xm:sqref>
        </x14:dataValidation>
        <x14:dataValidation type="list" xr:uid="{67827956-29C5-4658-B56E-6F191E494F68}">
          <x14:formula1>
            <xm:f>Sheet2!G1:G21</xm:f>
          </x14:formula1>
          <xm:sqref>D173</xm:sqref>
        </x14:dataValidation>
        <x14:dataValidation type="list" xr:uid="{222580DB-1F96-4448-92D8-6291B5AECA86}">
          <x14:formula1>
            <xm:f>Sheet2!G1:G21</xm:f>
          </x14:formula1>
          <xm:sqref>D174</xm:sqref>
        </x14:dataValidation>
        <x14:dataValidation type="list" xr:uid="{29BA4761-06E6-4C2F-BAB2-96E6CDE9A2D3}">
          <x14:formula1>
            <xm:f>Sheet2!G1:G21</xm:f>
          </x14:formula1>
          <xm:sqref>D175</xm:sqref>
        </x14:dataValidation>
        <x14:dataValidation type="list" xr:uid="{067AEC15-6734-43F0-9DBA-915758208F45}">
          <x14:formula1>
            <xm:f>Sheet2!G1:G21</xm:f>
          </x14:formula1>
          <xm:sqref>D176</xm:sqref>
        </x14:dataValidation>
        <x14:dataValidation type="list" xr:uid="{F3A82A53-CF05-44D6-B85D-D4635EDF8B43}">
          <x14:formula1>
            <xm:f>Sheet2!G1:G21</xm:f>
          </x14:formula1>
          <xm:sqref>D177</xm:sqref>
        </x14:dataValidation>
        <x14:dataValidation type="list" xr:uid="{0DB0FA5E-0572-4BE7-89AC-1264DA4D4BE7}">
          <x14:formula1>
            <xm:f>Sheet2!G1:G21</xm:f>
          </x14:formula1>
          <xm:sqref>D178</xm:sqref>
        </x14:dataValidation>
        <x14:dataValidation type="list" xr:uid="{DFB3A5BE-A4F0-4913-AAE5-597C6BC15878}">
          <x14:formula1>
            <xm:f>Sheet2!G1:G21</xm:f>
          </x14:formula1>
          <xm:sqref>D179</xm:sqref>
        </x14:dataValidation>
        <x14:dataValidation type="list" xr:uid="{8EB4871C-6C5C-4C4F-B4E8-C27DFE2D9D83}">
          <x14:formula1>
            <xm:f>Sheet2!G1:G21</xm:f>
          </x14:formula1>
          <xm:sqref>D180</xm:sqref>
        </x14:dataValidation>
        <x14:dataValidation type="list" xr:uid="{BD77F94F-8601-42D5-A44C-1D9E3D8AA8CA}">
          <x14:formula1>
            <xm:f>Sheet2!G1:G21</xm:f>
          </x14:formula1>
          <xm:sqref>D181</xm:sqref>
        </x14:dataValidation>
        <x14:dataValidation type="list" xr:uid="{4B07F83D-0F4B-4009-A77C-6F768E779681}">
          <x14:formula1>
            <xm:f>Sheet2!G1:G21</xm:f>
          </x14:formula1>
          <xm:sqref>D182</xm:sqref>
        </x14:dataValidation>
        <x14:dataValidation type="list" xr:uid="{627F0711-A194-4B42-95F2-32E7FFD262BE}">
          <x14:formula1>
            <xm:f>Sheet2!G1:G21</xm:f>
          </x14:formula1>
          <xm:sqref>D183</xm:sqref>
        </x14:dataValidation>
        <x14:dataValidation type="list" xr:uid="{31122E6A-9587-49BA-8919-B4B6241D6005}">
          <x14:formula1>
            <xm:f>Sheet2!G1:G21</xm:f>
          </x14:formula1>
          <xm:sqref>D184</xm:sqref>
        </x14:dataValidation>
        <x14:dataValidation type="list" xr:uid="{0F466D58-4566-47B2-832E-676A1F28AF37}">
          <x14:formula1>
            <xm:f>Sheet2!G1:G21</xm:f>
          </x14:formula1>
          <xm:sqref>D185</xm:sqref>
        </x14:dataValidation>
        <x14:dataValidation type="list" xr:uid="{B0F94903-1E03-42E9-912C-E846833DD6E0}">
          <x14:formula1>
            <xm:f>Sheet2!G1:G21</xm:f>
          </x14:formula1>
          <xm:sqref>D186</xm:sqref>
        </x14:dataValidation>
        <x14:dataValidation type="list" xr:uid="{F54BFF75-93E3-402F-A51E-FF3CE81F2F90}">
          <x14:formula1>
            <xm:f>Sheet2!G1:G21</xm:f>
          </x14:formula1>
          <xm:sqref>D187</xm:sqref>
        </x14:dataValidation>
        <x14:dataValidation type="list" xr:uid="{07692001-C08F-4AAB-B70E-B52D2BCD52A0}">
          <x14:formula1>
            <xm:f>Sheet2!G1:G21</xm:f>
          </x14:formula1>
          <xm:sqref>D188</xm:sqref>
        </x14:dataValidation>
        <x14:dataValidation type="list" xr:uid="{0156DFB7-7DC8-470F-9848-A37CAFB3A484}">
          <x14:formula1>
            <xm:f>Sheet2!G1:G21</xm:f>
          </x14:formula1>
          <xm:sqref>D189</xm:sqref>
        </x14:dataValidation>
        <x14:dataValidation type="list" xr:uid="{4CEFEFBA-DFC9-4206-99BE-F51DC387ABEB}">
          <x14:formula1>
            <xm:f>Sheet2!G1:G21</xm:f>
          </x14:formula1>
          <xm:sqref>D190</xm:sqref>
        </x14:dataValidation>
        <x14:dataValidation type="list" xr:uid="{46E5CA02-E131-4250-B2E5-9BF88D95746A}">
          <x14:formula1>
            <xm:f>Sheet2!G1:G21</xm:f>
          </x14:formula1>
          <xm:sqref>D191</xm:sqref>
        </x14:dataValidation>
        <x14:dataValidation type="list" xr:uid="{1DDE7668-8E01-4204-BA0E-0450B49E26C0}">
          <x14:formula1>
            <xm:f>Sheet2!G1:G21</xm:f>
          </x14:formula1>
          <xm:sqref>D192</xm:sqref>
        </x14:dataValidation>
        <x14:dataValidation type="list" xr:uid="{FBE30014-9A62-4441-B04B-3C5229695BEB}">
          <x14:formula1>
            <xm:f>Sheet2!G1:G21</xm:f>
          </x14:formula1>
          <xm:sqref>D193</xm:sqref>
        </x14:dataValidation>
        <x14:dataValidation type="list" xr:uid="{A53DC0F8-3B2C-457F-88DE-73470EA08327}">
          <x14:formula1>
            <xm:f>Sheet2!G1:G21</xm:f>
          </x14:formula1>
          <xm:sqref>D194</xm:sqref>
        </x14:dataValidation>
        <x14:dataValidation type="list" xr:uid="{E2126083-C861-47F5-BF45-9D36063A2290}">
          <x14:formula1>
            <xm:f>Sheet2!G1:G21</xm:f>
          </x14:formula1>
          <xm:sqref>D195</xm:sqref>
        </x14:dataValidation>
        <x14:dataValidation type="list" xr:uid="{D0A9DD2F-A4EC-4A10-B6BF-0B00665F0CDE}">
          <x14:formula1>
            <xm:f>Sheet2!G1:G21</xm:f>
          </x14:formula1>
          <xm:sqref>D196</xm:sqref>
        </x14:dataValidation>
        <x14:dataValidation type="list" xr:uid="{C628020C-AF59-4D48-A751-7FC4DAFEC84D}">
          <x14:formula1>
            <xm:f>Sheet2!G1:G21</xm:f>
          </x14:formula1>
          <xm:sqref>D197</xm:sqref>
        </x14:dataValidation>
        <x14:dataValidation type="list" xr:uid="{BE6CFF8F-BEDA-4DA2-9A41-B3B8CE76343A}">
          <x14:formula1>
            <xm:f>Sheet2!G1:G21</xm:f>
          </x14:formula1>
          <xm:sqref>D198</xm:sqref>
        </x14:dataValidation>
        <x14:dataValidation type="list" xr:uid="{FF11ED06-6C95-4DA4-9FDA-8C581E33F0FE}">
          <x14:formula1>
            <xm:f>Sheet2!G1:G21</xm:f>
          </x14:formula1>
          <xm:sqref>D199</xm:sqref>
        </x14:dataValidation>
        <x14:dataValidation type="list" xr:uid="{E6085E08-6036-4B97-A7BD-46BC2D643312}">
          <x14:formula1>
            <xm:f>Sheet2!G1:G21</xm:f>
          </x14:formula1>
          <xm:sqref>D200</xm:sqref>
        </x14:dataValidation>
        <x14:dataValidation type="list" xr:uid="{A06277A7-0C48-4113-A656-45B0F4B3BC16}">
          <x14:formula1>
            <xm:f>Sheet2!H1:H8</xm:f>
          </x14:formula1>
          <xm:sqref>E14</xm:sqref>
        </x14:dataValidation>
        <x14:dataValidation type="list" xr:uid="{9A24293B-8630-49BE-8B57-4EFA57612450}">
          <x14:formula1>
            <xm:f>Sheet2!H1:H8</xm:f>
          </x14:formula1>
          <xm:sqref>E15</xm:sqref>
        </x14:dataValidation>
        <x14:dataValidation type="list" xr:uid="{910B7E41-D068-4126-971C-E99DD47D85A8}">
          <x14:formula1>
            <xm:f>Sheet2!H1:H8</xm:f>
          </x14:formula1>
          <xm:sqref>E16</xm:sqref>
        </x14:dataValidation>
        <x14:dataValidation type="list" xr:uid="{87B86571-5086-4A0C-8958-6CFC44021628}">
          <x14:formula1>
            <xm:f>Sheet2!H1:H8</xm:f>
          </x14:formula1>
          <xm:sqref>E17</xm:sqref>
        </x14:dataValidation>
        <x14:dataValidation type="list" xr:uid="{13905A94-7411-45B0-A565-2E3513247220}">
          <x14:formula1>
            <xm:f>Sheet2!H1:H8</xm:f>
          </x14:formula1>
          <xm:sqref>E18</xm:sqref>
        </x14:dataValidation>
        <x14:dataValidation type="list" xr:uid="{64217F5F-47F7-402F-91BF-5B52A59CC248}">
          <x14:formula1>
            <xm:f>Sheet2!H1:H8</xm:f>
          </x14:formula1>
          <xm:sqref>E19</xm:sqref>
        </x14:dataValidation>
        <x14:dataValidation type="list" xr:uid="{299CBDE4-D958-4601-81DC-B3C501980173}">
          <x14:formula1>
            <xm:f>Sheet2!H1:H8</xm:f>
          </x14:formula1>
          <xm:sqref>E20</xm:sqref>
        </x14:dataValidation>
        <x14:dataValidation type="list" xr:uid="{E819D9D6-E787-4D28-9B44-3F42AD4DDD3F}">
          <x14:formula1>
            <xm:f>Sheet2!H1:H8</xm:f>
          </x14:formula1>
          <xm:sqref>E21</xm:sqref>
        </x14:dataValidation>
        <x14:dataValidation type="list" xr:uid="{8A53BBC8-4BF6-4F01-9FE1-22C8D6EA2BAC}">
          <x14:formula1>
            <xm:f>Sheet2!H1:H8</xm:f>
          </x14:formula1>
          <xm:sqref>E22</xm:sqref>
        </x14:dataValidation>
        <x14:dataValidation type="list" xr:uid="{5C571E0C-59C9-437E-9CC7-0D0427E36E8F}">
          <x14:formula1>
            <xm:f>Sheet2!H1:H8</xm:f>
          </x14:formula1>
          <xm:sqref>E23</xm:sqref>
        </x14:dataValidation>
        <x14:dataValidation type="list" xr:uid="{55B98DA8-C1DF-4926-A4DD-DCF170CEF25E}">
          <x14:formula1>
            <xm:f>Sheet2!H1:H8</xm:f>
          </x14:formula1>
          <xm:sqref>E24</xm:sqref>
        </x14:dataValidation>
        <x14:dataValidation type="list" xr:uid="{5460ED0A-9B80-41B0-9A5D-5C925DF46ED8}">
          <x14:formula1>
            <xm:f>Sheet2!H1:H8</xm:f>
          </x14:formula1>
          <xm:sqref>E25</xm:sqref>
        </x14:dataValidation>
        <x14:dataValidation type="list" xr:uid="{1CB9E1C7-7530-437B-9325-B1080B03DFA6}">
          <x14:formula1>
            <xm:f>Sheet2!H1:H8</xm:f>
          </x14:formula1>
          <xm:sqref>E26</xm:sqref>
        </x14:dataValidation>
        <x14:dataValidation type="list" xr:uid="{0FBB043F-88ED-4882-AF44-523F0AC83EF5}">
          <x14:formula1>
            <xm:f>Sheet2!H1:H8</xm:f>
          </x14:formula1>
          <xm:sqref>E27</xm:sqref>
        </x14:dataValidation>
        <x14:dataValidation type="list" xr:uid="{21B384B7-5E9B-4E3F-A46E-7BCF8EA518D5}">
          <x14:formula1>
            <xm:f>Sheet2!H1:H8</xm:f>
          </x14:formula1>
          <xm:sqref>E28</xm:sqref>
        </x14:dataValidation>
        <x14:dataValidation type="list" xr:uid="{58D31008-BEAA-4C23-88BD-B4FA6F42C20B}">
          <x14:formula1>
            <xm:f>Sheet2!H1:H8</xm:f>
          </x14:formula1>
          <xm:sqref>E29</xm:sqref>
        </x14:dataValidation>
        <x14:dataValidation type="list" xr:uid="{3135EFB9-27C3-4D8B-88E6-8AC71667F3A3}">
          <x14:formula1>
            <xm:f>Sheet2!H1:H8</xm:f>
          </x14:formula1>
          <xm:sqref>E30</xm:sqref>
        </x14:dataValidation>
        <x14:dataValidation type="list" xr:uid="{3ED9C194-FB7E-4C82-AD8C-154622E4BDB1}">
          <x14:formula1>
            <xm:f>Sheet2!H1:H8</xm:f>
          </x14:formula1>
          <xm:sqref>E31</xm:sqref>
        </x14:dataValidation>
        <x14:dataValidation type="list" xr:uid="{BD50725D-2995-4E85-B43C-8ECA19FF16F0}">
          <x14:formula1>
            <xm:f>Sheet2!H1:H8</xm:f>
          </x14:formula1>
          <xm:sqref>E32</xm:sqref>
        </x14:dataValidation>
        <x14:dataValidation type="list" xr:uid="{678A48D5-1C06-4389-A7C7-4D01160D1149}">
          <x14:formula1>
            <xm:f>Sheet2!H1:H8</xm:f>
          </x14:formula1>
          <xm:sqref>E33</xm:sqref>
        </x14:dataValidation>
        <x14:dataValidation type="list" xr:uid="{8B3F52E6-FA1E-414D-AEB9-AA7076987C85}">
          <x14:formula1>
            <xm:f>Sheet2!H1:H8</xm:f>
          </x14:formula1>
          <xm:sqref>E34</xm:sqref>
        </x14:dataValidation>
        <x14:dataValidation type="list" xr:uid="{B02D6D35-B4EE-46EB-A69F-19D27534B54F}">
          <x14:formula1>
            <xm:f>Sheet2!H1:H8</xm:f>
          </x14:formula1>
          <xm:sqref>E35</xm:sqref>
        </x14:dataValidation>
        <x14:dataValidation type="list" xr:uid="{7ECDDFC3-2375-4B29-9E4D-481534ECF90F}">
          <x14:formula1>
            <xm:f>Sheet2!H1:H8</xm:f>
          </x14:formula1>
          <xm:sqref>E36</xm:sqref>
        </x14:dataValidation>
        <x14:dataValidation type="list" xr:uid="{58547358-8647-44BF-A45F-B8426E283E83}">
          <x14:formula1>
            <xm:f>Sheet2!H1:H8</xm:f>
          </x14:formula1>
          <xm:sqref>E37</xm:sqref>
        </x14:dataValidation>
        <x14:dataValidation type="list" xr:uid="{47AE695D-5E07-4AE4-BD5B-6A608071FC2E}">
          <x14:formula1>
            <xm:f>Sheet2!H1:H8</xm:f>
          </x14:formula1>
          <xm:sqref>E38</xm:sqref>
        </x14:dataValidation>
        <x14:dataValidation type="list" xr:uid="{6725E7B4-8CCF-481E-886F-F47B1E5184CD}">
          <x14:formula1>
            <xm:f>Sheet2!H1:H8</xm:f>
          </x14:formula1>
          <xm:sqref>E39</xm:sqref>
        </x14:dataValidation>
        <x14:dataValidation type="list" xr:uid="{B9263B92-5294-40DC-AB82-BCE17DA5CC71}">
          <x14:formula1>
            <xm:f>Sheet2!H1:H8</xm:f>
          </x14:formula1>
          <xm:sqref>E40</xm:sqref>
        </x14:dataValidation>
        <x14:dataValidation type="list" xr:uid="{B2ECD363-C353-4467-8E89-B4207DE86E55}">
          <x14:formula1>
            <xm:f>Sheet2!H1:H8</xm:f>
          </x14:formula1>
          <xm:sqref>E41</xm:sqref>
        </x14:dataValidation>
        <x14:dataValidation type="list" xr:uid="{F6CFB096-D33D-483D-A4F7-42E1413BEC38}">
          <x14:formula1>
            <xm:f>Sheet2!H1:H8</xm:f>
          </x14:formula1>
          <xm:sqref>E42</xm:sqref>
        </x14:dataValidation>
        <x14:dataValidation type="list" xr:uid="{A6B9A786-BB22-4719-8D24-57992036379F}">
          <x14:formula1>
            <xm:f>Sheet2!H1:H8</xm:f>
          </x14:formula1>
          <xm:sqref>E43</xm:sqref>
        </x14:dataValidation>
        <x14:dataValidation type="list" xr:uid="{AEC6316D-51B0-4FDD-AC6E-0B7FB702E99D}">
          <x14:formula1>
            <xm:f>Sheet2!H1:H8</xm:f>
          </x14:formula1>
          <xm:sqref>E44</xm:sqref>
        </x14:dataValidation>
        <x14:dataValidation type="list" xr:uid="{34B20173-A0D2-417B-B51B-5D5E16F24DE9}">
          <x14:formula1>
            <xm:f>Sheet2!H1:H8</xm:f>
          </x14:formula1>
          <xm:sqref>E45</xm:sqref>
        </x14:dataValidation>
        <x14:dataValidation type="list" xr:uid="{39FE531F-DBFD-4AE9-8EC3-48D5DE32B223}">
          <x14:formula1>
            <xm:f>Sheet2!H1:H8</xm:f>
          </x14:formula1>
          <xm:sqref>E46</xm:sqref>
        </x14:dataValidation>
        <x14:dataValidation type="list" xr:uid="{F928D127-7450-4DF8-8549-9858E249AD9C}">
          <x14:formula1>
            <xm:f>Sheet2!H1:H8</xm:f>
          </x14:formula1>
          <xm:sqref>E47</xm:sqref>
        </x14:dataValidation>
        <x14:dataValidation type="list" xr:uid="{47CE9B7B-D9C2-4CC4-8876-F1A8FD9EE085}">
          <x14:formula1>
            <xm:f>Sheet2!H1:H8</xm:f>
          </x14:formula1>
          <xm:sqref>E48</xm:sqref>
        </x14:dataValidation>
        <x14:dataValidation type="list" xr:uid="{8B854417-33B2-41F5-B1D5-466490E22A0E}">
          <x14:formula1>
            <xm:f>Sheet2!H1:H8</xm:f>
          </x14:formula1>
          <xm:sqref>E49</xm:sqref>
        </x14:dataValidation>
        <x14:dataValidation type="list" xr:uid="{CC0AE19E-BC70-416A-966A-DCDD36A8F5A3}">
          <x14:formula1>
            <xm:f>Sheet2!H1:H8</xm:f>
          </x14:formula1>
          <xm:sqref>E50</xm:sqref>
        </x14:dataValidation>
        <x14:dataValidation type="list" xr:uid="{7FA1ED15-C795-4E69-B540-F3D8B154F294}">
          <x14:formula1>
            <xm:f>Sheet2!H1:H8</xm:f>
          </x14:formula1>
          <xm:sqref>E51</xm:sqref>
        </x14:dataValidation>
        <x14:dataValidation type="list" xr:uid="{70FE4483-7FBB-4139-B4B0-36633897E444}">
          <x14:formula1>
            <xm:f>Sheet2!H1:H8</xm:f>
          </x14:formula1>
          <xm:sqref>E52</xm:sqref>
        </x14:dataValidation>
        <x14:dataValidation type="list" xr:uid="{DC5CA4B7-AD78-41BA-BC3B-9ED65DB9DDE0}">
          <x14:formula1>
            <xm:f>Sheet2!H1:H8</xm:f>
          </x14:formula1>
          <xm:sqref>E53</xm:sqref>
        </x14:dataValidation>
        <x14:dataValidation type="list" xr:uid="{42871A6D-D358-40C9-BBB8-A89CA958BA60}">
          <x14:formula1>
            <xm:f>Sheet2!H1:H8</xm:f>
          </x14:formula1>
          <xm:sqref>E54</xm:sqref>
        </x14:dataValidation>
        <x14:dataValidation type="list" xr:uid="{F92A7B3E-385A-4544-998A-BB63AD23B1EA}">
          <x14:formula1>
            <xm:f>Sheet2!H1:H8</xm:f>
          </x14:formula1>
          <xm:sqref>E55</xm:sqref>
        </x14:dataValidation>
        <x14:dataValidation type="list" xr:uid="{04868294-DE61-4C11-8E93-98C6F8B66AEB}">
          <x14:formula1>
            <xm:f>Sheet2!H1:H8</xm:f>
          </x14:formula1>
          <xm:sqref>E56</xm:sqref>
        </x14:dataValidation>
        <x14:dataValidation type="list" xr:uid="{DA76DE71-7F09-4F14-9B94-8842BAE99E72}">
          <x14:formula1>
            <xm:f>Sheet2!H1:H8</xm:f>
          </x14:formula1>
          <xm:sqref>E57</xm:sqref>
        </x14:dataValidation>
        <x14:dataValidation type="list" xr:uid="{A6D4484A-E9C6-4BAA-8708-35B1C07A20BF}">
          <x14:formula1>
            <xm:f>Sheet2!H1:H8</xm:f>
          </x14:formula1>
          <xm:sqref>E58</xm:sqref>
        </x14:dataValidation>
        <x14:dataValidation type="list" xr:uid="{51E042E3-907F-4DD0-A32A-365F97373D18}">
          <x14:formula1>
            <xm:f>Sheet2!H1:H8</xm:f>
          </x14:formula1>
          <xm:sqref>E59</xm:sqref>
        </x14:dataValidation>
        <x14:dataValidation type="list" xr:uid="{5A6A742A-2694-4585-B511-701ABEC47822}">
          <x14:formula1>
            <xm:f>Sheet2!H1:H8</xm:f>
          </x14:formula1>
          <xm:sqref>E60</xm:sqref>
        </x14:dataValidation>
        <x14:dataValidation type="list" xr:uid="{5CEC30EC-870C-4E18-A021-4ECE77345B80}">
          <x14:formula1>
            <xm:f>Sheet2!H1:H8</xm:f>
          </x14:formula1>
          <xm:sqref>E61</xm:sqref>
        </x14:dataValidation>
        <x14:dataValidation type="list" xr:uid="{E763ECCC-DD02-468D-94EB-BD885EA2C5C4}">
          <x14:formula1>
            <xm:f>Sheet2!H1:H8</xm:f>
          </x14:formula1>
          <xm:sqref>E62</xm:sqref>
        </x14:dataValidation>
        <x14:dataValidation type="list" xr:uid="{B83514B2-744E-4956-8774-FB672F18CF69}">
          <x14:formula1>
            <xm:f>Sheet2!H1:H8</xm:f>
          </x14:formula1>
          <xm:sqref>E63</xm:sqref>
        </x14:dataValidation>
        <x14:dataValidation type="list" xr:uid="{3C1B9BA9-CEC2-436C-A570-ABA8CF7AA340}">
          <x14:formula1>
            <xm:f>Sheet2!H1:H8</xm:f>
          </x14:formula1>
          <xm:sqref>E64</xm:sqref>
        </x14:dataValidation>
        <x14:dataValidation type="list" xr:uid="{A5F36149-D3D3-42EF-B042-49973C12BE7C}">
          <x14:formula1>
            <xm:f>Sheet2!H1:H8</xm:f>
          </x14:formula1>
          <xm:sqref>E65</xm:sqref>
        </x14:dataValidation>
        <x14:dataValidation type="list" xr:uid="{FC1B1D1E-90CF-4891-8341-ED6C9CB4F4AC}">
          <x14:formula1>
            <xm:f>Sheet2!H1:H8</xm:f>
          </x14:formula1>
          <xm:sqref>E66</xm:sqref>
        </x14:dataValidation>
        <x14:dataValidation type="list" xr:uid="{9863440E-867A-470E-B0FD-F6C843948D69}">
          <x14:formula1>
            <xm:f>Sheet2!H1:H8</xm:f>
          </x14:formula1>
          <xm:sqref>E67</xm:sqref>
        </x14:dataValidation>
        <x14:dataValidation type="list" xr:uid="{0A5D2DB2-7E56-44D0-82E6-49E11E1CC84C}">
          <x14:formula1>
            <xm:f>Sheet2!H1:H8</xm:f>
          </x14:formula1>
          <xm:sqref>E68</xm:sqref>
        </x14:dataValidation>
        <x14:dataValidation type="list" xr:uid="{31FA6ABA-5EDD-485D-9C33-4048DC54B265}">
          <x14:formula1>
            <xm:f>Sheet2!H1:H8</xm:f>
          </x14:formula1>
          <xm:sqref>E69</xm:sqref>
        </x14:dataValidation>
        <x14:dataValidation type="list" xr:uid="{1D0A11F2-E6CE-4959-8A75-2CD9C1596946}">
          <x14:formula1>
            <xm:f>Sheet2!H1:H8</xm:f>
          </x14:formula1>
          <xm:sqref>E70</xm:sqref>
        </x14:dataValidation>
        <x14:dataValidation type="list" xr:uid="{BEAA9832-346B-48F2-A3E4-B77E2074D612}">
          <x14:formula1>
            <xm:f>Sheet2!H1:H8</xm:f>
          </x14:formula1>
          <xm:sqref>E71</xm:sqref>
        </x14:dataValidation>
        <x14:dataValidation type="list" xr:uid="{FEF4542B-9C81-40AD-B717-B3E1053F1A22}">
          <x14:formula1>
            <xm:f>Sheet2!H1:H8</xm:f>
          </x14:formula1>
          <xm:sqref>E72</xm:sqref>
        </x14:dataValidation>
        <x14:dataValidation type="list" xr:uid="{4A0D663A-CACE-4A5D-87D0-3B38452A9178}">
          <x14:formula1>
            <xm:f>Sheet2!H1:H8</xm:f>
          </x14:formula1>
          <xm:sqref>E73</xm:sqref>
        </x14:dataValidation>
        <x14:dataValidation type="list" xr:uid="{6FFE9119-47CB-45BB-8AA7-8D0A3EB48419}">
          <x14:formula1>
            <xm:f>Sheet2!H1:H8</xm:f>
          </x14:formula1>
          <xm:sqref>E74</xm:sqref>
        </x14:dataValidation>
        <x14:dataValidation type="list" xr:uid="{94CAD55A-929A-474A-BFA2-BA01D53537BD}">
          <x14:formula1>
            <xm:f>Sheet2!H1:H8</xm:f>
          </x14:formula1>
          <xm:sqref>E75</xm:sqref>
        </x14:dataValidation>
        <x14:dataValidation type="list" xr:uid="{74848411-4052-43AC-8584-2125D5887ADA}">
          <x14:formula1>
            <xm:f>Sheet2!H1:H8</xm:f>
          </x14:formula1>
          <xm:sqref>E76</xm:sqref>
        </x14:dataValidation>
        <x14:dataValidation type="list" xr:uid="{F595DD7F-BD8E-4263-BE83-2812F52C8F60}">
          <x14:formula1>
            <xm:f>Sheet2!H1:H8</xm:f>
          </x14:formula1>
          <xm:sqref>E77</xm:sqref>
        </x14:dataValidation>
        <x14:dataValidation type="list" xr:uid="{B8098F6B-0433-4EB3-BC89-4BE2294FE187}">
          <x14:formula1>
            <xm:f>Sheet2!H1:H8</xm:f>
          </x14:formula1>
          <xm:sqref>E78</xm:sqref>
        </x14:dataValidation>
        <x14:dataValidation type="list" xr:uid="{F300121D-F2BA-4ACE-8049-965D2DC20A3E}">
          <x14:formula1>
            <xm:f>Sheet2!H1:H8</xm:f>
          </x14:formula1>
          <xm:sqref>E79</xm:sqref>
        </x14:dataValidation>
        <x14:dataValidation type="list" xr:uid="{90B45128-DE14-4249-AEA3-577142E16C07}">
          <x14:formula1>
            <xm:f>Sheet2!H1:H8</xm:f>
          </x14:formula1>
          <xm:sqref>E80</xm:sqref>
        </x14:dataValidation>
        <x14:dataValidation type="list" xr:uid="{7BEAF8D4-F874-4C4E-9BBD-CB75EFA0DC22}">
          <x14:formula1>
            <xm:f>Sheet2!H1:H8</xm:f>
          </x14:formula1>
          <xm:sqref>E81</xm:sqref>
        </x14:dataValidation>
        <x14:dataValidation type="list" xr:uid="{F14620B3-FE83-407C-8844-CC8E62FBCA7B}">
          <x14:formula1>
            <xm:f>Sheet2!H1:H8</xm:f>
          </x14:formula1>
          <xm:sqref>E82</xm:sqref>
        </x14:dataValidation>
        <x14:dataValidation type="list" xr:uid="{BB624CC2-2373-4639-B793-9301697A8570}">
          <x14:formula1>
            <xm:f>Sheet2!H1:H8</xm:f>
          </x14:formula1>
          <xm:sqref>E83</xm:sqref>
        </x14:dataValidation>
        <x14:dataValidation type="list" xr:uid="{C8A67692-DAA3-4507-B864-6497FCC9D787}">
          <x14:formula1>
            <xm:f>Sheet2!H1:H8</xm:f>
          </x14:formula1>
          <xm:sqref>E84</xm:sqref>
        </x14:dataValidation>
        <x14:dataValidation type="list" xr:uid="{F3433D3E-6473-4356-B132-A53E3BF8DEC0}">
          <x14:formula1>
            <xm:f>Sheet2!H1:H8</xm:f>
          </x14:formula1>
          <xm:sqref>E85</xm:sqref>
        </x14:dataValidation>
        <x14:dataValidation type="list" xr:uid="{43073A69-BB16-4A68-BD8F-10F2A87A15F9}">
          <x14:formula1>
            <xm:f>Sheet2!H1:H8</xm:f>
          </x14:formula1>
          <xm:sqref>E86</xm:sqref>
        </x14:dataValidation>
        <x14:dataValidation type="list" xr:uid="{2A68DE51-96B4-4DCE-8855-4CD5EA35B09E}">
          <x14:formula1>
            <xm:f>Sheet2!H1:H8</xm:f>
          </x14:formula1>
          <xm:sqref>E87</xm:sqref>
        </x14:dataValidation>
        <x14:dataValidation type="list" xr:uid="{B25ED655-930E-43F5-A4FD-4BB4347AA24D}">
          <x14:formula1>
            <xm:f>Sheet2!H1:H8</xm:f>
          </x14:formula1>
          <xm:sqref>E88</xm:sqref>
        </x14:dataValidation>
        <x14:dataValidation type="list" xr:uid="{047D2936-9642-47A4-A55F-63F63BA7D085}">
          <x14:formula1>
            <xm:f>Sheet2!H1:H8</xm:f>
          </x14:formula1>
          <xm:sqref>E89</xm:sqref>
        </x14:dataValidation>
        <x14:dataValidation type="list" xr:uid="{42F0CA8C-9A48-45B7-AFC0-2A566B42B12A}">
          <x14:formula1>
            <xm:f>Sheet2!H1:H8</xm:f>
          </x14:formula1>
          <xm:sqref>E90</xm:sqref>
        </x14:dataValidation>
        <x14:dataValidation type="list" xr:uid="{DCDECF65-163F-4D16-BBAD-19EEB7D3A166}">
          <x14:formula1>
            <xm:f>Sheet2!H1:H8</xm:f>
          </x14:formula1>
          <xm:sqref>E91</xm:sqref>
        </x14:dataValidation>
        <x14:dataValidation type="list" xr:uid="{A7F412EB-F5EC-4CF2-B030-A2E33C07E92C}">
          <x14:formula1>
            <xm:f>Sheet2!H1:H8</xm:f>
          </x14:formula1>
          <xm:sqref>E92</xm:sqref>
        </x14:dataValidation>
        <x14:dataValidation type="list" xr:uid="{2ADED527-454E-4233-A587-754DEBCD8C3A}">
          <x14:formula1>
            <xm:f>Sheet2!H1:H8</xm:f>
          </x14:formula1>
          <xm:sqref>E93</xm:sqref>
        </x14:dataValidation>
        <x14:dataValidation type="list" xr:uid="{B3ADFDBF-8681-4A21-A4A8-2FF7E90695FF}">
          <x14:formula1>
            <xm:f>Sheet2!H1:H8</xm:f>
          </x14:formula1>
          <xm:sqref>E94</xm:sqref>
        </x14:dataValidation>
        <x14:dataValidation type="list" xr:uid="{0923624F-6A2E-4F12-9D10-7DBC1D8542DD}">
          <x14:formula1>
            <xm:f>Sheet2!H1:H8</xm:f>
          </x14:formula1>
          <xm:sqref>E95</xm:sqref>
        </x14:dataValidation>
        <x14:dataValidation type="list" xr:uid="{D8D73CAF-41BF-4E11-B487-48107D0B8DA5}">
          <x14:formula1>
            <xm:f>Sheet2!H1:H8</xm:f>
          </x14:formula1>
          <xm:sqref>E96</xm:sqref>
        </x14:dataValidation>
        <x14:dataValidation type="list" xr:uid="{B9864E12-4707-4988-96DA-A336C2D33C43}">
          <x14:formula1>
            <xm:f>Sheet2!H1:H8</xm:f>
          </x14:formula1>
          <xm:sqref>E97</xm:sqref>
        </x14:dataValidation>
        <x14:dataValidation type="list" xr:uid="{B4E2E976-D69C-438F-B10B-ACD8F302CA9D}">
          <x14:formula1>
            <xm:f>Sheet2!H1:H8</xm:f>
          </x14:formula1>
          <xm:sqref>E98</xm:sqref>
        </x14:dataValidation>
        <x14:dataValidation type="list" xr:uid="{4D27D398-7735-445F-8E7B-926A004787A7}">
          <x14:formula1>
            <xm:f>Sheet2!H1:H8</xm:f>
          </x14:formula1>
          <xm:sqref>E99</xm:sqref>
        </x14:dataValidation>
        <x14:dataValidation type="list" xr:uid="{E2DA982A-8045-4C5B-9A36-99505659B053}">
          <x14:formula1>
            <xm:f>Sheet2!H1:H8</xm:f>
          </x14:formula1>
          <xm:sqref>E100</xm:sqref>
        </x14:dataValidation>
        <x14:dataValidation type="list" xr:uid="{1CAB6820-D138-4939-94F5-DD6AA1F8C3DB}">
          <x14:formula1>
            <xm:f>Sheet2!H1:H8</xm:f>
          </x14:formula1>
          <xm:sqref>E101</xm:sqref>
        </x14:dataValidation>
        <x14:dataValidation type="list" xr:uid="{213722F5-1E64-473E-A3E9-C6584AD49BA3}">
          <x14:formula1>
            <xm:f>Sheet2!H1:H8</xm:f>
          </x14:formula1>
          <xm:sqref>E102</xm:sqref>
        </x14:dataValidation>
        <x14:dataValidation type="list" xr:uid="{4D40526F-B221-462A-AC0D-29FABC3ABDFF}">
          <x14:formula1>
            <xm:f>Sheet2!H1:H8</xm:f>
          </x14:formula1>
          <xm:sqref>E103</xm:sqref>
        </x14:dataValidation>
        <x14:dataValidation type="list" xr:uid="{47FCCA27-C944-4BF7-AA92-DA0482827B46}">
          <x14:formula1>
            <xm:f>Sheet2!H1:H8</xm:f>
          </x14:formula1>
          <xm:sqref>E104</xm:sqref>
        </x14:dataValidation>
        <x14:dataValidation type="list" xr:uid="{FA4D57BF-8394-4818-A684-636FD9CAF453}">
          <x14:formula1>
            <xm:f>Sheet2!H1:H8</xm:f>
          </x14:formula1>
          <xm:sqref>E105</xm:sqref>
        </x14:dataValidation>
        <x14:dataValidation type="list" xr:uid="{9314B944-2F67-407B-9199-674A6D5D5CB0}">
          <x14:formula1>
            <xm:f>Sheet2!H1:H8</xm:f>
          </x14:formula1>
          <xm:sqref>E106</xm:sqref>
        </x14:dataValidation>
        <x14:dataValidation type="list" xr:uid="{4C6AEEC1-C392-4275-8BD3-AD89FCD91345}">
          <x14:formula1>
            <xm:f>Sheet2!H1:H8</xm:f>
          </x14:formula1>
          <xm:sqref>E107</xm:sqref>
        </x14:dataValidation>
        <x14:dataValidation type="list" xr:uid="{601D53F0-45D9-4678-861E-FDD557C00B50}">
          <x14:formula1>
            <xm:f>Sheet2!H1:H8</xm:f>
          </x14:formula1>
          <xm:sqref>E108</xm:sqref>
        </x14:dataValidation>
        <x14:dataValidation type="list" xr:uid="{D618B823-66FF-436C-9F5B-7D815750EA0D}">
          <x14:formula1>
            <xm:f>Sheet2!H1:H8</xm:f>
          </x14:formula1>
          <xm:sqref>E109</xm:sqref>
        </x14:dataValidation>
        <x14:dataValidation type="list" xr:uid="{FE768B41-971C-4394-8F65-AB74C2D45D11}">
          <x14:formula1>
            <xm:f>Sheet2!H1:H8</xm:f>
          </x14:formula1>
          <xm:sqref>E110</xm:sqref>
        </x14:dataValidation>
        <x14:dataValidation type="list" xr:uid="{8C5FED25-6474-42F3-BE8E-FB935F05DB43}">
          <x14:formula1>
            <xm:f>Sheet2!H1:H8</xm:f>
          </x14:formula1>
          <xm:sqref>E111</xm:sqref>
        </x14:dataValidation>
        <x14:dataValidation type="list" xr:uid="{FBDA1F13-C203-438B-A357-696F835182D8}">
          <x14:formula1>
            <xm:f>Sheet2!H1:H8</xm:f>
          </x14:formula1>
          <xm:sqref>E112</xm:sqref>
        </x14:dataValidation>
        <x14:dataValidation type="list" xr:uid="{B637257D-040E-41EC-88DD-7A1D9A4CBDF4}">
          <x14:formula1>
            <xm:f>Sheet2!H1:H8</xm:f>
          </x14:formula1>
          <xm:sqref>E113</xm:sqref>
        </x14:dataValidation>
        <x14:dataValidation type="list" xr:uid="{2F980832-74A2-48A5-A371-6130B9316C35}">
          <x14:formula1>
            <xm:f>Sheet2!H1:H8</xm:f>
          </x14:formula1>
          <xm:sqref>E114</xm:sqref>
        </x14:dataValidation>
        <x14:dataValidation type="list" xr:uid="{0901BACF-78F2-4B5A-A9E6-7C39B117F814}">
          <x14:formula1>
            <xm:f>Sheet2!H1:H8</xm:f>
          </x14:formula1>
          <xm:sqref>E115</xm:sqref>
        </x14:dataValidation>
        <x14:dataValidation type="list" xr:uid="{064A3D48-1E83-4779-BAA0-63435E5E8B07}">
          <x14:formula1>
            <xm:f>Sheet2!H1:H8</xm:f>
          </x14:formula1>
          <xm:sqref>E116</xm:sqref>
        </x14:dataValidation>
        <x14:dataValidation type="list" xr:uid="{FA0866BB-9493-4A22-8D4B-91AFBA48A091}">
          <x14:formula1>
            <xm:f>Sheet2!H1:H8</xm:f>
          </x14:formula1>
          <xm:sqref>E117</xm:sqref>
        </x14:dataValidation>
        <x14:dataValidation type="list" xr:uid="{6CE2C2FA-5AE9-42E3-B35E-4E18BD592F30}">
          <x14:formula1>
            <xm:f>Sheet2!H1:H8</xm:f>
          </x14:formula1>
          <xm:sqref>E118</xm:sqref>
        </x14:dataValidation>
        <x14:dataValidation type="list" xr:uid="{0C1895C1-31A4-433A-A7C0-52712D4C5D75}">
          <x14:formula1>
            <xm:f>Sheet2!H1:H8</xm:f>
          </x14:formula1>
          <xm:sqref>E119</xm:sqref>
        </x14:dataValidation>
        <x14:dataValidation type="list" xr:uid="{160AFDE8-450C-46E1-9814-1B17F31CC02F}">
          <x14:formula1>
            <xm:f>Sheet2!H1:H8</xm:f>
          </x14:formula1>
          <xm:sqref>E120</xm:sqref>
        </x14:dataValidation>
        <x14:dataValidation type="list" xr:uid="{A83E4929-2CFD-4477-9B07-8600AB41F188}">
          <x14:formula1>
            <xm:f>Sheet2!H1:H8</xm:f>
          </x14:formula1>
          <xm:sqref>E121</xm:sqref>
        </x14:dataValidation>
        <x14:dataValidation type="list" xr:uid="{045D2E7C-90BB-4DFC-9698-F57F00FAA931}">
          <x14:formula1>
            <xm:f>Sheet2!H1:H8</xm:f>
          </x14:formula1>
          <xm:sqref>E122</xm:sqref>
        </x14:dataValidation>
        <x14:dataValidation type="list" xr:uid="{0F741CF3-59CD-4DBF-91F1-06D404FD635D}">
          <x14:formula1>
            <xm:f>Sheet2!H1:H8</xm:f>
          </x14:formula1>
          <xm:sqref>E123</xm:sqref>
        </x14:dataValidation>
        <x14:dataValidation type="list" xr:uid="{BB99E86B-094B-4678-B7A2-A99B377BDC85}">
          <x14:formula1>
            <xm:f>Sheet2!H1:H8</xm:f>
          </x14:formula1>
          <xm:sqref>E124</xm:sqref>
        </x14:dataValidation>
        <x14:dataValidation type="list" xr:uid="{B00C7F09-2030-45CD-91C2-9336276F29D6}">
          <x14:formula1>
            <xm:f>Sheet2!H1:H8</xm:f>
          </x14:formula1>
          <xm:sqref>E125</xm:sqref>
        </x14:dataValidation>
        <x14:dataValidation type="list" xr:uid="{3A378E06-DACD-4179-8B95-76810933F309}">
          <x14:formula1>
            <xm:f>Sheet2!H1:H8</xm:f>
          </x14:formula1>
          <xm:sqref>E126</xm:sqref>
        </x14:dataValidation>
        <x14:dataValidation type="list" xr:uid="{11466BA5-160D-411C-95BE-6CF646798F5C}">
          <x14:formula1>
            <xm:f>Sheet2!H1:H8</xm:f>
          </x14:formula1>
          <xm:sqref>E127</xm:sqref>
        </x14:dataValidation>
        <x14:dataValidation type="list" xr:uid="{667E8C34-31C4-47F9-8666-034A0C415ABC}">
          <x14:formula1>
            <xm:f>Sheet2!H1:H8</xm:f>
          </x14:formula1>
          <xm:sqref>E128</xm:sqref>
        </x14:dataValidation>
        <x14:dataValidation type="list" xr:uid="{938CA40A-756B-4DBF-A9F9-167D4B895178}">
          <x14:formula1>
            <xm:f>Sheet2!H1:H8</xm:f>
          </x14:formula1>
          <xm:sqref>E129</xm:sqref>
        </x14:dataValidation>
        <x14:dataValidation type="list" xr:uid="{3E366267-A0DD-442D-9A81-D27ACFCCC909}">
          <x14:formula1>
            <xm:f>Sheet2!H1:H8</xm:f>
          </x14:formula1>
          <xm:sqref>E130</xm:sqref>
        </x14:dataValidation>
        <x14:dataValidation type="list" xr:uid="{7B539B90-F6FE-4691-9703-A59057058672}">
          <x14:formula1>
            <xm:f>Sheet2!H1:H8</xm:f>
          </x14:formula1>
          <xm:sqref>E131</xm:sqref>
        </x14:dataValidation>
        <x14:dataValidation type="list" xr:uid="{430F3125-3BAB-47ED-898D-4D20FD5F339A}">
          <x14:formula1>
            <xm:f>Sheet2!H1:H8</xm:f>
          </x14:formula1>
          <xm:sqref>E132</xm:sqref>
        </x14:dataValidation>
        <x14:dataValidation type="list" xr:uid="{BA6A0A1D-2E11-4D37-BE18-4587AFCB7725}">
          <x14:formula1>
            <xm:f>Sheet2!H1:H8</xm:f>
          </x14:formula1>
          <xm:sqref>E133</xm:sqref>
        </x14:dataValidation>
        <x14:dataValidation type="list" xr:uid="{798CCB6A-6DA0-4624-AE53-253EAABEFA16}">
          <x14:formula1>
            <xm:f>Sheet2!H1:H8</xm:f>
          </x14:formula1>
          <xm:sqref>E134</xm:sqref>
        </x14:dataValidation>
        <x14:dataValidation type="list" xr:uid="{CAA0F12A-C276-4702-9633-B5AC75DB1EDB}">
          <x14:formula1>
            <xm:f>Sheet2!H1:H8</xm:f>
          </x14:formula1>
          <xm:sqref>E135</xm:sqref>
        </x14:dataValidation>
        <x14:dataValidation type="list" xr:uid="{8132188E-895F-4DE0-BCCA-AF727B833706}">
          <x14:formula1>
            <xm:f>Sheet2!H1:H8</xm:f>
          </x14:formula1>
          <xm:sqref>E136</xm:sqref>
        </x14:dataValidation>
        <x14:dataValidation type="list" xr:uid="{3672C2CD-A245-4D5C-993A-E1359BFC50CA}">
          <x14:formula1>
            <xm:f>Sheet2!H1:H8</xm:f>
          </x14:formula1>
          <xm:sqref>E137</xm:sqref>
        </x14:dataValidation>
        <x14:dataValidation type="list" xr:uid="{5E007846-CAAA-4104-8B6A-6C45ADD408BE}">
          <x14:formula1>
            <xm:f>Sheet2!H1:H8</xm:f>
          </x14:formula1>
          <xm:sqref>E138</xm:sqref>
        </x14:dataValidation>
        <x14:dataValidation type="list" xr:uid="{9CBAD92D-E9B5-4B1C-966D-037E74600F32}">
          <x14:formula1>
            <xm:f>Sheet2!H1:H8</xm:f>
          </x14:formula1>
          <xm:sqref>E139</xm:sqref>
        </x14:dataValidation>
        <x14:dataValidation type="list" xr:uid="{009CBB4A-431D-46E7-A826-537BDBE251BD}">
          <x14:formula1>
            <xm:f>Sheet2!H1:H8</xm:f>
          </x14:formula1>
          <xm:sqref>E140</xm:sqref>
        </x14:dataValidation>
        <x14:dataValidation type="list" xr:uid="{74DAAC93-26A9-48DB-AFCF-BF12E7BA0C42}">
          <x14:formula1>
            <xm:f>Sheet2!H1:H8</xm:f>
          </x14:formula1>
          <xm:sqref>E141</xm:sqref>
        </x14:dataValidation>
        <x14:dataValidation type="list" xr:uid="{A15AF7B8-47E4-495B-B641-8272D8477D9E}">
          <x14:formula1>
            <xm:f>Sheet2!H1:H8</xm:f>
          </x14:formula1>
          <xm:sqref>E142</xm:sqref>
        </x14:dataValidation>
        <x14:dataValidation type="list" xr:uid="{CF5027AA-5476-4564-8E0C-26BE471BD13A}">
          <x14:formula1>
            <xm:f>Sheet2!H1:H8</xm:f>
          </x14:formula1>
          <xm:sqref>E143</xm:sqref>
        </x14:dataValidation>
        <x14:dataValidation type="list" xr:uid="{86EB3811-B3F9-4E23-B423-E9944BF695DC}">
          <x14:formula1>
            <xm:f>Sheet2!H1:H8</xm:f>
          </x14:formula1>
          <xm:sqref>E144</xm:sqref>
        </x14:dataValidation>
        <x14:dataValidation type="list" xr:uid="{8F9C1814-8773-4E31-A0F6-B093E5C8D7BC}">
          <x14:formula1>
            <xm:f>Sheet2!H1:H8</xm:f>
          </x14:formula1>
          <xm:sqref>E145</xm:sqref>
        </x14:dataValidation>
        <x14:dataValidation type="list" xr:uid="{EF354E25-711F-4CED-8083-FB47DC7FCB4B}">
          <x14:formula1>
            <xm:f>Sheet2!H1:H8</xm:f>
          </x14:formula1>
          <xm:sqref>E146</xm:sqref>
        </x14:dataValidation>
        <x14:dataValidation type="list" xr:uid="{49645817-2DDF-425C-9EBE-2F6CD269A499}">
          <x14:formula1>
            <xm:f>Sheet2!H1:H8</xm:f>
          </x14:formula1>
          <xm:sqref>E147</xm:sqref>
        </x14:dataValidation>
        <x14:dataValidation type="list" xr:uid="{C9226AB1-455D-4258-8E82-138FE8BCF0D5}">
          <x14:formula1>
            <xm:f>Sheet2!H1:H8</xm:f>
          </x14:formula1>
          <xm:sqref>E148</xm:sqref>
        </x14:dataValidation>
        <x14:dataValidation type="list" xr:uid="{93AA2B40-CCCA-4B7E-B89E-276C9401A943}">
          <x14:formula1>
            <xm:f>Sheet2!H1:H8</xm:f>
          </x14:formula1>
          <xm:sqref>E149</xm:sqref>
        </x14:dataValidation>
        <x14:dataValidation type="list" xr:uid="{AC912F46-ED98-4E74-A4C4-BDB7851E921C}">
          <x14:formula1>
            <xm:f>Sheet2!H1:H8</xm:f>
          </x14:formula1>
          <xm:sqref>E150</xm:sqref>
        </x14:dataValidation>
        <x14:dataValidation type="list" xr:uid="{C86D2A85-7079-4A97-ABCC-E449B97F86ED}">
          <x14:formula1>
            <xm:f>Sheet2!H1:H8</xm:f>
          </x14:formula1>
          <xm:sqref>E151</xm:sqref>
        </x14:dataValidation>
        <x14:dataValidation type="list" xr:uid="{52CDF2DA-A3B2-49D9-999A-E79F230EEEE7}">
          <x14:formula1>
            <xm:f>Sheet2!H1:H8</xm:f>
          </x14:formula1>
          <xm:sqref>E152</xm:sqref>
        </x14:dataValidation>
        <x14:dataValidation type="list" xr:uid="{CF6B8E59-FE7C-4AD0-9BB5-1A5FEE543331}">
          <x14:formula1>
            <xm:f>Sheet2!H1:H8</xm:f>
          </x14:formula1>
          <xm:sqref>E153</xm:sqref>
        </x14:dataValidation>
        <x14:dataValidation type="list" xr:uid="{5A38BA55-5058-4D58-ACE2-D491CA6B64D4}">
          <x14:formula1>
            <xm:f>Sheet2!H1:H8</xm:f>
          </x14:formula1>
          <xm:sqref>E154</xm:sqref>
        </x14:dataValidation>
        <x14:dataValidation type="list" xr:uid="{14D6D15E-EF7A-4DA9-9A3A-B4ABAFE82D5D}">
          <x14:formula1>
            <xm:f>Sheet2!H1:H8</xm:f>
          </x14:formula1>
          <xm:sqref>E155</xm:sqref>
        </x14:dataValidation>
        <x14:dataValidation type="list" xr:uid="{B7B8B561-9DD9-4936-8B4B-7B499C141420}">
          <x14:formula1>
            <xm:f>Sheet2!H1:H8</xm:f>
          </x14:formula1>
          <xm:sqref>E156</xm:sqref>
        </x14:dataValidation>
        <x14:dataValidation type="list" xr:uid="{E20E5B26-DA45-44EF-BBB8-2210DD60B972}">
          <x14:formula1>
            <xm:f>Sheet2!H1:H8</xm:f>
          </x14:formula1>
          <xm:sqref>E157</xm:sqref>
        </x14:dataValidation>
        <x14:dataValidation type="list" xr:uid="{18C27E2F-28CE-4F10-9CBA-DA1A97D73091}">
          <x14:formula1>
            <xm:f>Sheet2!H1:H8</xm:f>
          </x14:formula1>
          <xm:sqref>E158</xm:sqref>
        </x14:dataValidation>
        <x14:dataValidation type="list" xr:uid="{81811734-FE76-4F94-90E0-E62601757576}">
          <x14:formula1>
            <xm:f>Sheet2!H1:H8</xm:f>
          </x14:formula1>
          <xm:sqref>E159</xm:sqref>
        </x14:dataValidation>
        <x14:dataValidation type="list" xr:uid="{3955D5FC-C690-49C7-A03E-468601647670}">
          <x14:formula1>
            <xm:f>Sheet2!H1:H8</xm:f>
          </x14:formula1>
          <xm:sqref>E160</xm:sqref>
        </x14:dataValidation>
        <x14:dataValidation type="list" xr:uid="{943E1951-164C-47C3-A85B-06B7D2DA4FDF}">
          <x14:formula1>
            <xm:f>Sheet2!H1:H8</xm:f>
          </x14:formula1>
          <xm:sqref>E161</xm:sqref>
        </x14:dataValidation>
        <x14:dataValidation type="list" xr:uid="{E939EDAC-B0BD-419E-9C75-0D4F6D658A7D}">
          <x14:formula1>
            <xm:f>Sheet2!H1:H8</xm:f>
          </x14:formula1>
          <xm:sqref>E162</xm:sqref>
        </x14:dataValidation>
        <x14:dataValidation type="list" xr:uid="{FEC41CAE-80DD-4B50-82A4-2B40504E44A8}">
          <x14:formula1>
            <xm:f>Sheet2!H1:H8</xm:f>
          </x14:formula1>
          <xm:sqref>E163</xm:sqref>
        </x14:dataValidation>
        <x14:dataValidation type="list" xr:uid="{0F0C128A-414D-4FB0-AEA3-1BA8E20DF2F8}">
          <x14:formula1>
            <xm:f>Sheet2!H1:H8</xm:f>
          </x14:formula1>
          <xm:sqref>E164</xm:sqref>
        </x14:dataValidation>
        <x14:dataValidation type="list" xr:uid="{D1F30B85-8C8A-46D1-BA39-95779E3572FC}">
          <x14:formula1>
            <xm:f>Sheet2!H1:H8</xm:f>
          </x14:formula1>
          <xm:sqref>E165</xm:sqref>
        </x14:dataValidation>
        <x14:dataValidation type="list" xr:uid="{E6EA2418-6D17-4D93-9660-C187AC84C8E4}">
          <x14:formula1>
            <xm:f>Sheet2!H1:H8</xm:f>
          </x14:formula1>
          <xm:sqref>E166</xm:sqref>
        </x14:dataValidation>
        <x14:dataValidation type="list" xr:uid="{D8CF869D-8CBA-472D-9FAE-DDB138CA9EF5}">
          <x14:formula1>
            <xm:f>Sheet2!H1:H8</xm:f>
          </x14:formula1>
          <xm:sqref>E167</xm:sqref>
        </x14:dataValidation>
        <x14:dataValidation type="list" xr:uid="{77F5FD53-FFB8-4D94-BDE6-8E99A7D1B457}">
          <x14:formula1>
            <xm:f>Sheet2!H1:H8</xm:f>
          </x14:formula1>
          <xm:sqref>E168</xm:sqref>
        </x14:dataValidation>
        <x14:dataValidation type="list" xr:uid="{46CC4F1D-C71E-416E-89A0-AF230F4CC01B}">
          <x14:formula1>
            <xm:f>Sheet2!H1:H8</xm:f>
          </x14:formula1>
          <xm:sqref>E169</xm:sqref>
        </x14:dataValidation>
        <x14:dataValidation type="list" xr:uid="{189667BB-79C6-449D-8CC5-80A6AE27F4C6}">
          <x14:formula1>
            <xm:f>Sheet2!H1:H8</xm:f>
          </x14:formula1>
          <xm:sqref>E170</xm:sqref>
        </x14:dataValidation>
        <x14:dataValidation type="list" xr:uid="{E114D8C1-36D6-47B4-98E9-7B956563D7C8}">
          <x14:formula1>
            <xm:f>Sheet2!H1:H8</xm:f>
          </x14:formula1>
          <xm:sqref>E171</xm:sqref>
        </x14:dataValidation>
        <x14:dataValidation type="list" xr:uid="{3640E0FE-A639-4AC1-981F-55B5E231696B}">
          <x14:formula1>
            <xm:f>Sheet2!H1:H8</xm:f>
          </x14:formula1>
          <xm:sqref>E172</xm:sqref>
        </x14:dataValidation>
        <x14:dataValidation type="list" xr:uid="{5A3A141E-6637-42B2-B310-D8F57DE3C258}">
          <x14:formula1>
            <xm:f>Sheet2!H1:H8</xm:f>
          </x14:formula1>
          <xm:sqref>E173</xm:sqref>
        </x14:dataValidation>
        <x14:dataValidation type="list" xr:uid="{48596942-FB5C-4E97-B4C9-2E8742564D0B}">
          <x14:formula1>
            <xm:f>Sheet2!H1:H8</xm:f>
          </x14:formula1>
          <xm:sqref>E174</xm:sqref>
        </x14:dataValidation>
        <x14:dataValidation type="list" xr:uid="{6C59D520-4BB6-416C-8BB7-801138545B0C}">
          <x14:formula1>
            <xm:f>Sheet2!H1:H8</xm:f>
          </x14:formula1>
          <xm:sqref>E175</xm:sqref>
        </x14:dataValidation>
        <x14:dataValidation type="list" xr:uid="{84AB3ED5-141B-482F-8302-A9FC0794D4E8}">
          <x14:formula1>
            <xm:f>Sheet2!H1:H8</xm:f>
          </x14:formula1>
          <xm:sqref>E176</xm:sqref>
        </x14:dataValidation>
        <x14:dataValidation type="list" xr:uid="{58BDE9A3-D79F-488F-A9B6-673ADA635AF3}">
          <x14:formula1>
            <xm:f>Sheet2!H1:H8</xm:f>
          </x14:formula1>
          <xm:sqref>E177</xm:sqref>
        </x14:dataValidation>
        <x14:dataValidation type="list" xr:uid="{C4B9B0AD-15C8-40B8-A79A-BFEA65E7784A}">
          <x14:formula1>
            <xm:f>Sheet2!H1:H8</xm:f>
          </x14:formula1>
          <xm:sqref>E178</xm:sqref>
        </x14:dataValidation>
        <x14:dataValidation type="list" xr:uid="{3CC0E71F-EE35-48EE-AF5A-8507C24D92D3}">
          <x14:formula1>
            <xm:f>Sheet2!H1:H8</xm:f>
          </x14:formula1>
          <xm:sqref>E179</xm:sqref>
        </x14:dataValidation>
        <x14:dataValidation type="list" xr:uid="{823D79FC-7EA4-4130-A710-3CC69FCF68FC}">
          <x14:formula1>
            <xm:f>Sheet2!H1:H8</xm:f>
          </x14:formula1>
          <xm:sqref>E180</xm:sqref>
        </x14:dataValidation>
        <x14:dataValidation type="list" xr:uid="{038A91A5-AB71-42EC-8A57-70ECBB89FB29}">
          <x14:formula1>
            <xm:f>Sheet2!H1:H8</xm:f>
          </x14:formula1>
          <xm:sqref>E181</xm:sqref>
        </x14:dataValidation>
        <x14:dataValidation type="list" xr:uid="{7F442DE9-D79B-4D3A-AAA2-1D1B0D8550B6}">
          <x14:formula1>
            <xm:f>Sheet2!H1:H8</xm:f>
          </x14:formula1>
          <xm:sqref>E182</xm:sqref>
        </x14:dataValidation>
        <x14:dataValidation type="list" xr:uid="{272302F3-20F8-4D8E-B581-C1DCF839AC37}">
          <x14:formula1>
            <xm:f>Sheet2!H1:H8</xm:f>
          </x14:formula1>
          <xm:sqref>E183</xm:sqref>
        </x14:dataValidation>
        <x14:dataValidation type="list" xr:uid="{C20668ED-ADC5-43F1-91BA-40378FD165C7}">
          <x14:formula1>
            <xm:f>Sheet2!H1:H8</xm:f>
          </x14:formula1>
          <xm:sqref>E184</xm:sqref>
        </x14:dataValidation>
        <x14:dataValidation type="list" xr:uid="{3B2F083A-163C-46AD-96B5-E35B89565E33}">
          <x14:formula1>
            <xm:f>Sheet2!H1:H8</xm:f>
          </x14:formula1>
          <xm:sqref>E185</xm:sqref>
        </x14:dataValidation>
        <x14:dataValidation type="list" xr:uid="{67E4CEDE-7F29-44F6-A2CC-DEDDA3EFAF7E}">
          <x14:formula1>
            <xm:f>Sheet2!H1:H8</xm:f>
          </x14:formula1>
          <xm:sqref>E186</xm:sqref>
        </x14:dataValidation>
        <x14:dataValidation type="list" xr:uid="{B23AA269-A41E-41A9-8DE3-46CED02D65B0}">
          <x14:formula1>
            <xm:f>Sheet2!H1:H8</xm:f>
          </x14:formula1>
          <xm:sqref>E187</xm:sqref>
        </x14:dataValidation>
        <x14:dataValidation type="list" xr:uid="{C1CE3D1F-A68A-41C6-829F-0AA975F78755}">
          <x14:formula1>
            <xm:f>Sheet2!H1:H8</xm:f>
          </x14:formula1>
          <xm:sqref>E188</xm:sqref>
        </x14:dataValidation>
        <x14:dataValidation type="list" xr:uid="{1C19630A-E6F4-42A9-B066-EFF2530DE9D0}">
          <x14:formula1>
            <xm:f>Sheet2!H1:H8</xm:f>
          </x14:formula1>
          <xm:sqref>E189</xm:sqref>
        </x14:dataValidation>
        <x14:dataValidation type="list" xr:uid="{58264F8A-A748-4D99-B64A-E07DBF36BC94}">
          <x14:formula1>
            <xm:f>Sheet2!H1:H8</xm:f>
          </x14:formula1>
          <xm:sqref>E190</xm:sqref>
        </x14:dataValidation>
        <x14:dataValidation type="list" xr:uid="{F799C60C-F0C6-4975-94A5-C66741BDEB63}">
          <x14:formula1>
            <xm:f>Sheet2!H1:H8</xm:f>
          </x14:formula1>
          <xm:sqref>E191</xm:sqref>
        </x14:dataValidation>
        <x14:dataValidation type="list" xr:uid="{169E0466-BCB2-452E-B895-A7522867ABF1}">
          <x14:formula1>
            <xm:f>Sheet2!H1:H8</xm:f>
          </x14:formula1>
          <xm:sqref>E192</xm:sqref>
        </x14:dataValidation>
        <x14:dataValidation type="list" xr:uid="{ACB91867-3B65-4F02-A402-06DF374999C9}">
          <x14:formula1>
            <xm:f>Sheet2!H1:H8</xm:f>
          </x14:formula1>
          <xm:sqref>E193</xm:sqref>
        </x14:dataValidation>
        <x14:dataValidation type="list" xr:uid="{D0825479-8D41-423B-96F3-FBF44471E10A}">
          <x14:formula1>
            <xm:f>Sheet2!H1:H8</xm:f>
          </x14:formula1>
          <xm:sqref>E194</xm:sqref>
        </x14:dataValidation>
        <x14:dataValidation type="list" xr:uid="{25C58FA3-180F-4DD4-95ED-B4CFFD576B4E}">
          <x14:formula1>
            <xm:f>Sheet2!H1:H8</xm:f>
          </x14:formula1>
          <xm:sqref>E195</xm:sqref>
        </x14:dataValidation>
        <x14:dataValidation type="list" xr:uid="{169E5645-749A-4B46-AAC1-B2FC0F07A2BE}">
          <x14:formula1>
            <xm:f>Sheet2!H1:H8</xm:f>
          </x14:formula1>
          <xm:sqref>E196</xm:sqref>
        </x14:dataValidation>
        <x14:dataValidation type="list" xr:uid="{C790CAF5-DECC-4022-BDAD-CA731A081712}">
          <x14:formula1>
            <xm:f>Sheet2!H1:H8</xm:f>
          </x14:formula1>
          <xm:sqref>E197</xm:sqref>
        </x14:dataValidation>
        <x14:dataValidation type="list" xr:uid="{4C02645D-1D3C-4ACB-B843-EE00667C06BA}">
          <x14:formula1>
            <xm:f>Sheet2!H1:H8</xm:f>
          </x14:formula1>
          <xm:sqref>E198</xm:sqref>
        </x14:dataValidation>
        <x14:dataValidation type="list" xr:uid="{675F6D53-2AF8-4FE7-9423-7910F8FC524C}">
          <x14:formula1>
            <xm:f>Sheet2!H1:H8</xm:f>
          </x14:formula1>
          <xm:sqref>E199</xm:sqref>
        </x14:dataValidation>
        <x14:dataValidation type="list" xr:uid="{18BB81FF-BED9-4F4A-BD0B-1AC944897B75}">
          <x14:formula1>
            <xm:f>Sheet2!H1:H8</xm:f>
          </x14:formula1>
          <xm:sqref>E200</xm:sqref>
        </x14:dataValidation>
      </x14:dataValidations>
    </ext>
  </extLst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1:H123"/>
  <sheetViews>
    <sheetView workbookViewId="0"/>
  </sheetViews>
  <sheetFormatPr defaultRowHeight="15"/>
  <sheetData>
    <row r="1">
      <c r="A1" s="0" t="s">
        <v>19</v>
      </c>
      <c r="B1" s="0" t="s">
        <v>20</v>
      </c>
      <c r="C1" s="0" t="s">
        <v>21</v>
      </c>
      <c r="D1" s="0" t="s">
        <v>22</v>
      </c>
      <c r="E1" s="0" t="s">
        <v>23</v>
      </c>
      <c r="F1" s="0" t="s">
        <v>20</v>
      </c>
      <c r="G1" s="0" t="s">
        <v>21</v>
      </c>
      <c r="H1" s="0" t="s">
        <v>22</v>
      </c>
    </row>
    <row r="2">
      <c r="A2" s="0" t="s">
        <v>24</v>
      </c>
      <c r="B2" s="0" t="s">
        <v>20</v>
      </c>
      <c r="C2" s="0" t="s">
        <v>25</v>
      </c>
      <c r="D2" s="0" t="s">
        <v>22</v>
      </c>
      <c r="E2" s="0" t="s">
        <v>26</v>
      </c>
      <c r="F2" s="0" t="s">
        <v>27</v>
      </c>
      <c r="G2" s="0" t="s">
        <v>25</v>
      </c>
      <c r="H2" s="0" t="s">
        <v>28</v>
      </c>
    </row>
    <row r="3">
      <c r="A3" s="0" t="s">
        <v>29</v>
      </c>
      <c r="B3" s="0" t="s">
        <v>20</v>
      </c>
      <c r="C3" s="0" t="s">
        <v>30</v>
      </c>
      <c r="D3" s="0" t="s">
        <v>22</v>
      </c>
      <c r="E3" s="0" t="s">
        <v>31</v>
      </c>
      <c r="F3" s="0" t="s">
        <v>32</v>
      </c>
      <c r="G3" s="0" t="s">
        <v>30</v>
      </c>
      <c r="H3" s="0" t="s">
        <v>33</v>
      </c>
    </row>
    <row r="4">
      <c r="A4" s="0" t="s">
        <v>34</v>
      </c>
      <c r="B4" s="0" t="s">
        <v>20</v>
      </c>
      <c r="C4" s="0" t="s">
        <v>35</v>
      </c>
      <c r="D4" s="0" t="s">
        <v>22</v>
      </c>
      <c r="E4" s="0" t="s">
        <v>36</v>
      </c>
      <c r="F4" s="0" t="s">
        <v>37</v>
      </c>
      <c r="G4" s="0" t="s">
        <v>35</v>
      </c>
      <c r="H4" s="0" t="s">
        <v>38</v>
      </c>
    </row>
    <row r="5">
      <c r="A5" s="0" t="s">
        <v>39</v>
      </c>
      <c r="B5" s="0" t="s">
        <v>20</v>
      </c>
      <c r="C5" s="0" t="s">
        <v>40</v>
      </c>
      <c r="D5" s="0" t="s">
        <v>22</v>
      </c>
      <c r="E5" s="0" t="s">
        <v>41</v>
      </c>
      <c r="F5" s="0" t="s">
        <v>42</v>
      </c>
      <c r="G5" s="0" t="s">
        <v>40</v>
      </c>
      <c r="H5" s="0" t="s">
        <v>43</v>
      </c>
    </row>
    <row r="6">
      <c r="A6" s="0" t="s">
        <v>44</v>
      </c>
      <c r="B6" s="0" t="s">
        <v>20</v>
      </c>
      <c r="C6" s="0" t="s">
        <v>45</v>
      </c>
      <c r="D6" s="0" t="s">
        <v>22</v>
      </c>
      <c r="E6" s="0" t="s">
        <v>46</v>
      </c>
      <c r="F6" s="0" t="s">
        <v>47</v>
      </c>
      <c r="G6" s="0" t="s">
        <v>45</v>
      </c>
      <c r="H6" s="0" t="s">
        <v>48</v>
      </c>
    </row>
    <row r="7">
      <c r="A7" s="0" t="s">
        <v>49</v>
      </c>
      <c r="B7" s="0" t="s">
        <v>27</v>
      </c>
      <c r="C7" s="0" t="s">
        <v>50</v>
      </c>
      <c r="D7" s="0" t="s">
        <v>22</v>
      </c>
      <c r="E7" s="0" t="s">
        <v>51</v>
      </c>
      <c r="F7" s="0" t="s">
        <v>52</v>
      </c>
      <c r="G7" s="0" t="s">
        <v>50</v>
      </c>
      <c r="H7" s="0" t="s">
        <v>53</v>
      </c>
    </row>
    <row r="8">
      <c r="A8" s="0" t="s">
        <v>54</v>
      </c>
      <c r="B8" s="0" t="s">
        <v>32</v>
      </c>
      <c r="C8" s="0" t="s">
        <v>50</v>
      </c>
      <c r="D8" s="0" t="s">
        <v>22</v>
      </c>
      <c r="E8" s="0" t="s">
        <v>55</v>
      </c>
      <c r="F8" s="0" t="s">
        <v>56</v>
      </c>
      <c r="G8" s="0" t="s">
        <v>57</v>
      </c>
      <c r="H8" s="0" t="s">
        <v>58</v>
      </c>
    </row>
    <row r="9">
      <c r="A9" s="0" t="s">
        <v>59</v>
      </c>
      <c r="B9" s="0" t="s">
        <v>37</v>
      </c>
      <c r="C9" s="0" t="s">
        <v>40</v>
      </c>
      <c r="D9" s="0" t="s">
        <v>22</v>
      </c>
      <c r="E9" s="0" t="s">
        <v>60</v>
      </c>
      <c r="F9" s="0" t="s">
        <v>61</v>
      </c>
      <c r="G9" s="0" t="s">
        <v>62</v>
      </c>
    </row>
    <row r="10">
      <c r="A10" s="0" t="s">
        <v>63</v>
      </c>
      <c r="B10" s="0" t="s">
        <v>37</v>
      </c>
      <c r="C10" s="0" t="s">
        <v>30</v>
      </c>
      <c r="D10" s="0" t="s">
        <v>22</v>
      </c>
      <c r="E10" s="0" t="s">
        <v>64</v>
      </c>
      <c r="F10" s="0" t="s">
        <v>65</v>
      </c>
      <c r="G10" s="0" t="s">
        <v>66</v>
      </c>
    </row>
    <row r="11">
      <c r="A11" s="0" t="s">
        <v>67</v>
      </c>
      <c r="B11" s="0" t="s">
        <v>37</v>
      </c>
      <c r="C11" s="0" t="s">
        <v>45</v>
      </c>
      <c r="D11" s="0" t="s">
        <v>22</v>
      </c>
      <c r="E11" s="0" t="s">
        <v>68</v>
      </c>
      <c r="F11" s="0" t="s">
        <v>69</v>
      </c>
      <c r="G11" s="0" t="s">
        <v>70</v>
      </c>
    </row>
    <row r="12">
      <c r="A12" s="0" t="s">
        <v>71</v>
      </c>
      <c r="B12" s="0" t="s">
        <v>37</v>
      </c>
      <c r="C12" s="0" t="s">
        <v>25</v>
      </c>
      <c r="D12" s="0" t="s">
        <v>22</v>
      </c>
      <c r="E12" s="0" t="s">
        <v>72</v>
      </c>
      <c r="F12" s="0" t="s">
        <v>73</v>
      </c>
      <c r="G12" s="0" t="s">
        <v>74</v>
      </c>
    </row>
    <row r="13">
      <c r="A13" s="0" t="s">
        <v>75</v>
      </c>
      <c r="B13" s="0" t="s">
        <v>37</v>
      </c>
      <c r="C13" s="0" t="s">
        <v>35</v>
      </c>
      <c r="D13" s="0" t="s">
        <v>22</v>
      </c>
      <c r="E13" s="0" t="s">
        <v>76</v>
      </c>
      <c r="F13" s="0" t="s">
        <v>77</v>
      </c>
      <c r="G13" s="0" t="s">
        <v>78</v>
      </c>
    </row>
    <row r="14">
      <c r="A14" s="0" t="s">
        <v>79</v>
      </c>
      <c r="B14" s="0" t="s">
        <v>37</v>
      </c>
      <c r="C14" s="0" t="s">
        <v>21</v>
      </c>
      <c r="D14" s="0" t="s">
        <v>22</v>
      </c>
      <c r="E14" s="0" t="s">
        <v>80</v>
      </c>
      <c r="F14" s="0" t="s">
        <v>81</v>
      </c>
      <c r="G14" s="0" t="s">
        <v>82</v>
      </c>
    </row>
    <row r="15">
      <c r="A15" s="0" t="s">
        <v>83</v>
      </c>
      <c r="B15" s="0" t="s">
        <v>37</v>
      </c>
      <c r="C15" s="0" t="s">
        <v>50</v>
      </c>
      <c r="D15" s="0" t="s">
        <v>22</v>
      </c>
      <c r="E15" s="0" t="s">
        <v>84</v>
      </c>
      <c r="F15" s="0" t="s">
        <v>85</v>
      </c>
      <c r="G15" s="0" t="s">
        <v>86</v>
      </c>
    </row>
    <row r="16">
      <c r="A16" s="0" t="s">
        <v>87</v>
      </c>
      <c r="B16" s="0" t="s">
        <v>42</v>
      </c>
      <c r="C16" s="0" t="s">
        <v>21</v>
      </c>
      <c r="D16" s="0" t="s">
        <v>28</v>
      </c>
      <c r="E16" s="0" t="s">
        <v>88</v>
      </c>
      <c r="F16" s="0" t="s">
        <v>89</v>
      </c>
      <c r="G16" s="0" t="s">
        <v>90</v>
      </c>
    </row>
    <row r="17">
      <c r="A17" s="0" t="s">
        <v>91</v>
      </c>
      <c r="B17" s="0" t="s">
        <v>42</v>
      </c>
      <c r="C17" s="0" t="s">
        <v>21</v>
      </c>
      <c r="D17" s="0" t="s">
        <v>33</v>
      </c>
      <c r="E17" s="0" t="s">
        <v>88</v>
      </c>
      <c r="F17" s="0" t="s">
        <v>92</v>
      </c>
      <c r="G17" s="0" t="s">
        <v>93</v>
      </c>
    </row>
    <row r="18">
      <c r="A18" s="0" t="s">
        <v>94</v>
      </c>
      <c r="B18" s="0" t="s">
        <v>42</v>
      </c>
      <c r="C18" s="0" t="s">
        <v>25</v>
      </c>
      <c r="D18" s="0" t="s">
        <v>28</v>
      </c>
      <c r="E18" s="0" t="s">
        <v>95</v>
      </c>
      <c r="F18" s="0" t="s">
        <v>96</v>
      </c>
      <c r="G18" s="0" t="s">
        <v>97</v>
      </c>
    </row>
    <row r="19">
      <c r="A19" s="0" t="s">
        <v>98</v>
      </c>
      <c r="B19" s="0" t="s">
        <v>42</v>
      </c>
      <c r="C19" s="0" t="s">
        <v>25</v>
      </c>
      <c r="D19" s="0" t="s">
        <v>33</v>
      </c>
      <c r="E19" s="0" t="s">
        <v>95</v>
      </c>
      <c r="F19" s="0" t="s">
        <v>99</v>
      </c>
      <c r="G19" s="0" t="s">
        <v>100</v>
      </c>
    </row>
    <row r="20">
      <c r="A20" s="0" t="s">
        <v>101</v>
      </c>
      <c r="B20" s="0" t="s">
        <v>42</v>
      </c>
      <c r="C20" s="0" t="s">
        <v>30</v>
      </c>
      <c r="D20" s="0" t="s">
        <v>28</v>
      </c>
      <c r="E20" s="0" t="s">
        <v>102</v>
      </c>
      <c r="F20" s="0" t="s">
        <v>103</v>
      </c>
      <c r="G20" s="0" t="s">
        <v>104</v>
      </c>
    </row>
    <row r="21">
      <c r="A21" s="0" t="s">
        <v>105</v>
      </c>
      <c r="B21" s="0" t="s">
        <v>42</v>
      </c>
      <c r="C21" s="0" t="s">
        <v>30</v>
      </c>
      <c r="D21" s="0" t="s">
        <v>33</v>
      </c>
      <c r="E21" s="0" t="s">
        <v>102</v>
      </c>
      <c r="F21" s="0" t="s">
        <v>106</v>
      </c>
      <c r="G21" s="0" t="s">
        <v>107</v>
      </c>
    </row>
    <row r="22">
      <c r="A22" s="0" t="s">
        <v>108</v>
      </c>
      <c r="B22" s="0" t="s">
        <v>42</v>
      </c>
      <c r="C22" s="0" t="s">
        <v>35</v>
      </c>
      <c r="D22" s="0" t="s">
        <v>28</v>
      </c>
      <c r="E22" s="0" t="s">
        <v>109</v>
      </c>
      <c r="F22" s="0" t="s">
        <v>110</v>
      </c>
    </row>
    <row r="23">
      <c r="A23" s="0" t="s">
        <v>111</v>
      </c>
      <c r="B23" s="0" t="s">
        <v>42</v>
      </c>
      <c r="C23" s="0" t="s">
        <v>35</v>
      </c>
      <c r="D23" s="0" t="s">
        <v>33</v>
      </c>
      <c r="E23" s="0" t="s">
        <v>109</v>
      </c>
    </row>
    <row r="24">
      <c r="A24" s="0" t="s">
        <v>112</v>
      </c>
      <c r="B24" s="0" t="s">
        <v>42</v>
      </c>
      <c r="C24" s="0" t="s">
        <v>40</v>
      </c>
      <c r="D24" s="0" t="s">
        <v>28</v>
      </c>
      <c r="E24" s="0" t="s">
        <v>113</v>
      </c>
    </row>
    <row r="25">
      <c r="A25" s="0" t="s">
        <v>114</v>
      </c>
      <c r="B25" s="0" t="s">
        <v>42</v>
      </c>
      <c r="C25" s="0" t="s">
        <v>40</v>
      </c>
      <c r="D25" s="0" t="s">
        <v>33</v>
      </c>
      <c r="E25" s="0" t="s">
        <v>113</v>
      </c>
    </row>
    <row r="26">
      <c r="A26" s="0" t="s">
        <v>115</v>
      </c>
      <c r="B26" s="0" t="s">
        <v>42</v>
      </c>
      <c r="C26" s="0" t="s">
        <v>45</v>
      </c>
      <c r="D26" s="0" t="s">
        <v>28</v>
      </c>
      <c r="E26" s="0" t="s">
        <v>116</v>
      </c>
    </row>
    <row r="27">
      <c r="A27" s="0" t="s">
        <v>117</v>
      </c>
      <c r="B27" s="0" t="s">
        <v>42</v>
      </c>
      <c r="C27" s="0" t="s">
        <v>45</v>
      </c>
      <c r="D27" s="0" t="s">
        <v>33</v>
      </c>
      <c r="E27" s="0" t="s">
        <v>116</v>
      </c>
    </row>
    <row r="28">
      <c r="A28" s="0" t="s">
        <v>118</v>
      </c>
      <c r="B28" s="0" t="s">
        <v>42</v>
      </c>
      <c r="C28" s="0" t="s">
        <v>50</v>
      </c>
      <c r="D28" s="0" t="s">
        <v>28</v>
      </c>
      <c r="E28" s="0" t="s">
        <v>119</v>
      </c>
    </row>
    <row r="29">
      <c r="A29" s="0" t="s">
        <v>120</v>
      </c>
      <c r="B29" s="0" t="s">
        <v>42</v>
      </c>
      <c r="C29" s="0" t="s">
        <v>50</v>
      </c>
      <c r="D29" s="0" t="s">
        <v>33</v>
      </c>
      <c r="E29" s="0" t="s">
        <v>119</v>
      </c>
    </row>
    <row r="30">
      <c r="A30" s="0" t="s">
        <v>121</v>
      </c>
      <c r="B30" s="0" t="s">
        <v>47</v>
      </c>
      <c r="C30" s="0" t="s">
        <v>21</v>
      </c>
      <c r="D30" s="0" t="s">
        <v>38</v>
      </c>
      <c r="E30" s="0" t="s">
        <v>122</v>
      </c>
    </row>
    <row r="31">
      <c r="A31" s="0" t="s">
        <v>123</v>
      </c>
      <c r="B31" s="0" t="s">
        <v>47</v>
      </c>
      <c r="C31" s="0" t="s">
        <v>45</v>
      </c>
      <c r="D31" s="0" t="s">
        <v>38</v>
      </c>
      <c r="E31" s="0" t="s">
        <v>124</v>
      </c>
    </row>
    <row r="32">
      <c r="A32" s="0" t="s">
        <v>125</v>
      </c>
      <c r="B32" s="0" t="s">
        <v>47</v>
      </c>
      <c r="C32" s="0" t="s">
        <v>25</v>
      </c>
      <c r="D32" s="0" t="s">
        <v>38</v>
      </c>
      <c r="E32" s="0" t="s">
        <v>126</v>
      </c>
    </row>
    <row r="33">
      <c r="A33" s="0" t="s">
        <v>127</v>
      </c>
      <c r="B33" s="0" t="s">
        <v>47</v>
      </c>
      <c r="C33" s="0" t="s">
        <v>30</v>
      </c>
      <c r="D33" s="0" t="s">
        <v>38</v>
      </c>
      <c r="E33" s="0" t="s">
        <v>128</v>
      </c>
    </row>
    <row r="34">
      <c r="A34" s="0" t="s">
        <v>129</v>
      </c>
      <c r="B34" s="0" t="s">
        <v>47</v>
      </c>
      <c r="C34" s="0" t="s">
        <v>50</v>
      </c>
      <c r="D34" s="0" t="s">
        <v>38</v>
      </c>
      <c r="E34" s="0" t="s">
        <v>130</v>
      </c>
    </row>
    <row r="35">
      <c r="A35" s="0" t="s">
        <v>131</v>
      </c>
      <c r="B35" s="0" t="s">
        <v>47</v>
      </c>
      <c r="C35" s="0" t="s">
        <v>35</v>
      </c>
      <c r="D35" s="0" t="s">
        <v>38</v>
      </c>
      <c r="E35" s="0" t="s">
        <v>132</v>
      </c>
    </row>
    <row r="36">
      <c r="A36" s="0" t="s">
        <v>133</v>
      </c>
      <c r="B36" s="0" t="s">
        <v>47</v>
      </c>
      <c r="C36" s="0" t="s">
        <v>57</v>
      </c>
      <c r="D36" s="0" t="s">
        <v>38</v>
      </c>
      <c r="E36" s="0" t="s">
        <v>134</v>
      </c>
    </row>
    <row r="37">
      <c r="A37" s="0" t="s">
        <v>135</v>
      </c>
      <c r="B37" s="0" t="s">
        <v>47</v>
      </c>
      <c r="C37" s="0" t="s">
        <v>40</v>
      </c>
      <c r="D37" s="0" t="s">
        <v>38</v>
      </c>
      <c r="E37" s="0" t="s">
        <v>136</v>
      </c>
    </row>
    <row r="38">
      <c r="A38" s="0" t="s">
        <v>137</v>
      </c>
      <c r="B38" s="0" t="s">
        <v>52</v>
      </c>
      <c r="C38" s="0" t="s">
        <v>21</v>
      </c>
      <c r="D38" s="0" t="s">
        <v>22</v>
      </c>
      <c r="E38" s="0" t="s">
        <v>138</v>
      </c>
    </row>
    <row r="39">
      <c r="A39" s="0" t="s">
        <v>139</v>
      </c>
      <c r="B39" s="0" t="s">
        <v>52</v>
      </c>
      <c r="C39" s="0" t="s">
        <v>25</v>
      </c>
      <c r="D39" s="0" t="s">
        <v>22</v>
      </c>
      <c r="E39" s="0" t="s">
        <v>140</v>
      </c>
    </row>
    <row r="40">
      <c r="A40" s="0" t="s">
        <v>141</v>
      </c>
      <c r="B40" s="0" t="s">
        <v>52</v>
      </c>
      <c r="C40" s="0" t="s">
        <v>35</v>
      </c>
      <c r="D40" s="0" t="s">
        <v>22</v>
      </c>
      <c r="E40" s="0" t="s">
        <v>142</v>
      </c>
    </row>
    <row r="41">
      <c r="A41" s="0" t="s">
        <v>143</v>
      </c>
      <c r="B41" s="0" t="s">
        <v>52</v>
      </c>
      <c r="C41" s="0" t="s">
        <v>45</v>
      </c>
      <c r="D41" s="0" t="s">
        <v>22</v>
      </c>
      <c r="E41" s="0" t="s">
        <v>144</v>
      </c>
    </row>
    <row r="42">
      <c r="A42" s="0" t="s">
        <v>145</v>
      </c>
      <c r="B42" s="0" t="s">
        <v>52</v>
      </c>
      <c r="C42" s="0" t="s">
        <v>40</v>
      </c>
      <c r="D42" s="0" t="s">
        <v>22</v>
      </c>
      <c r="E42" s="0" t="s">
        <v>146</v>
      </c>
    </row>
    <row r="43">
      <c r="A43" s="0" t="s">
        <v>147</v>
      </c>
      <c r="B43" s="0" t="s">
        <v>52</v>
      </c>
      <c r="C43" s="0" t="s">
        <v>30</v>
      </c>
      <c r="D43" s="0" t="s">
        <v>22</v>
      </c>
      <c r="E43" s="0" t="s">
        <v>148</v>
      </c>
    </row>
    <row r="44">
      <c r="A44" s="0" t="s">
        <v>149</v>
      </c>
      <c r="B44" s="0" t="s">
        <v>56</v>
      </c>
      <c r="C44" s="0" t="s">
        <v>30</v>
      </c>
      <c r="D44" s="0" t="s">
        <v>33</v>
      </c>
      <c r="E44" s="0" t="s">
        <v>51</v>
      </c>
    </row>
    <row r="45">
      <c r="A45" s="0" t="s">
        <v>150</v>
      </c>
      <c r="B45" s="0" t="s">
        <v>56</v>
      </c>
      <c r="C45" s="0" t="s">
        <v>45</v>
      </c>
      <c r="D45" s="0" t="s">
        <v>33</v>
      </c>
      <c r="E45" s="0" t="s">
        <v>151</v>
      </c>
    </row>
    <row r="46">
      <c r="A46" s="0" t="s">
        <v>152</v>
      </c>
      <c r="B46" s="0" t="s">
        <v>56</v>
      </c>
      <c r="C46" s="0" t="s">
        <v>25</v>
      </c>
      <c r="D46" s="0" t="s">
        <v>33</v>
      </c>
      <c r="E46" s="0" t="s">
        <v>153</v>
      </c>
    </row>
    <row r="47">
      <c r="A47" s="0" t="s">
        <v>154</v>
      </c>
      <c r="B47" s="0" t="s">
        <v>56</v>
      </c>
      <c r="C47" s="0" t="s">
        <v>40</v>
      </c>
      <c r="D47" s="0" t="s">
        <v>33</v>
      </c>
      <c r="E47" s="0" t="s">
        <v>155</v>
      </c>
    </row>
    <row r="48">
      <c r="A48" s="0" t="s">
        <v>156</v>
      </c>
      <c r="B48" s="0" t="s">
        <v>61</v>
      </c>
      <c r="C48" s="0" t="s">
        <v>50</v>
      </c>
      <c r="D48" s="0" t="s">
        <v>33</v>
      </c>
      <c r="E48" s="0" t="s">
        <v>157</v>
      </c>
    </row>
    <row r="49">
      <c r="A49" s="0" t="s">
        <v>158</v>
      </c>
      <c r="B49" s="0" t="s">
        <v>65</v>
      </c>
      <c r="C49" s="0" t="s">
        <v>40</v>
      </c>
      <c r="D49" s="0" t="s">
        <v>33</v>
      </c>
      <c r="E49" s="0" t="s">
        <v>159</v>
      </c>
    </row>
    <row r="50">
      <c r="A50" s="0" t="s">
        <v>160</v>
      </c>
      <c r="B50" s="0" t="s">
        <v>65</v>
      </c>
      <c r="C50" s="0" t="s">
        <v>21</v>
      </c>
      <c r="D50" s="0" t="s">
        <v>33</v>
      </c>
      <c r="E50" s="0" t="s">
        <v>161</v>
      </c>
    </row>
    <row r="51">
      <c r="A51" s="0" t="s">
        <v>162</v>
      </c>
      <c r="B51" s="0" t="s">
        <v>69</v>
      </c>
      <c r="C51" s="0" t="s">
        <v>30</v>
      </c>
      <c r="D51" s="0" t="s">
        <v>22</v>
      </c>
      <c r="E51" s="0" t="s">
        <v>163</v>
      </c>
    </row>
    <row r="52">
      <c r="A52" s="0" t="s">
        <v>164</v>
      </c>
      <c r="B52" s="0" t="s">
        <v>69</v>
      </c>
      <c r="C52" s="0" t="s">
        <v>45</v>
      </c>
      <c r="D52" s="0" t="s">
        <v>22</v>
      </c>
      <c r="E52" s="0" t="s">
        <v>165</v>
      </c>
    </row>
    <row r="53">
      <c r="A53" s="0" t="s">
        <v>166</v>
      </c>
      <c r="B53" s="0" t="s">
        <v>69</v>
      </c>
      <c r="C53" s="0" t="s">
        <v>40</v>
      </c>
      <c r="D53" s="0" t="s">
        <v>22</v>
      </c>
      <c r="E53" s="0" t="s">
        <v>167</v>
      </c>
    </row>
    <row r="54">
      <c r="A54" s="0" t="s">
        <v>168</v>
      </c>
      <c r="B54" s="0" t="s">
        <v>69</v>
      </c>
      <c r="C54" s="0" t="s">
        <v>25</v>
      </c>
      <c r="D54" s="0" t="s">
        <v>22</v>
      </c>
      <c r="E54" s="0" t="s">
        <v>169</v>
      </c>
    </row>
    <row r="55">
      <c r="A55" s="0" t="s">
        <v>170</v>
      </c>
      <c r="B55" s="0" t="s">
        <v>69</v>
      </c>
      <c r="C55" s="0" t="s">
        <v>21</v>
      </c>
      <c r="D55" s="0" t="s">
        <v>22</v>
      </c>
      <c r="E55" s="0" t="s">
        <v>171</v>
      </c>
    </row>
    <row r="56">
      <c r="A56" s="0" t="s">
        <v>172</v>
      </c>
      <c r="B56" s="0" t="s">
        <v>73</v>
      </c>
      <c r="C56" s="0" t="s">
        <v>30</v>
      </c>
      <c r="D56" s="0" t="s">
        <v>22</v>
      </c>
      <c r="E56" s="0" t="s">
        <v>173</v>
      </c>
    </row>
    <row r="57">
      <c r="A57" s="0" t="s">
        <v>174</v>
      </c>
      <c r="B57" s="0" t="s">
        <v>73</v>
      </c>
      <c r="C57" s="0" t="s">
        <v>40</v>
      </c>
      <c r="D57" s="0" t="s">
        <v>22</v>
      </c>
      <c r="E57" s="0" t="s">
        <v>175</v>
      </c>
    </row>
    <row r="58">
      <c r="A58" s="0" t="s">
        <v>176</v>
      </c>
      <c r="B58" s="0" t="s">
        <v>73</v>
      </c>
      <c r="C58" s="0" t="s">
        <v>45</v>
      </c>
      <c r="D58" s="0" t="s">
        <v>22</v>
      </c>
      <c r="E58" s="0" t="s">
        <v>177</v>
      </c>
    </row>
    <row r="59">
      <c r="A59" s="0" t="s">
        <v>178</v>
      </c>
      <c r="B59" s="0" t="s">
        <v>73</v>
      </c>
      <c r="C59" s="0" t="s">
        <v>25</v>
      </c>
      <c r="D59" s="0" t="s">
        <v>22</v>
      </c>
      <c r="E59" s="0" t="s">
        <v>179</v>
      </c>
    </row>
    <row r="60">
      <c r="A60" s="0" t="s">
        <v>180</v>
      </c>
      <c r="B60" s="0" t="s">
        <v>73</v>
      </c>
      <c r="C60" s="0" t="s">
        <v>35</v>
      </c>
      <c r="D60" s="0" t="s">
        <v>22</v>
      </c>
      <c r="E60" s="0" t="s">
        <v>181</v>
      </c>
    </row>
    <row r="61">
      <c r="A61" s="0" t="s">
        <v>182</v>
      </c>
      <c r="B61" s="0" t="s">
        <v>73</v>
      </c>
      <c r="C61" s="0" t="s">
        <v>21</v>
      </c>
      <c r="D61" s="0" t="s">
        <v>22</v>
      </c>
      <c r="E61" s="0" t="s">
        <v>183</v>
      </c>
    </row>
    <row r="62">
      <c r="A62" s="0" t="s">
        <v>184</v>
      </c>
      <c r="B62" s="0" t="s">
        <v>77</v>
      </c>
      <c r="C62" s="0" t="s">
        <v>30</v>
      </c>
      <c r="D62" s="0" t="s">
        <v>22</v>
      </c>
      <c r="E62" s="0" t="s">
        <v>185</v>
      </c>
    </row>
    <row r="63">
      <c r="A63" s="0" t="s">
        <v>186</v>
      </c>
      <c r="B63" s="0" t="s">
        <v>77</v>
      </c>
      <c r="C63" s="0" t="s">
        <v>45</v>
      </c>
      <c r="D63" s="0" t="s">
        <v>22</v>
      </c>
      <c r="E63" s="0" t="s">
        <v>187</v>
      </c>
    </row>
    <row r="64">
      <c r="A64" s="0" t="s">
        <v>188</v>
      </c>
      <c r="B64" s="0" t="s">
        <v>77</v>
      </c>
      <c r="C64" s="0" t="s">
        <v>40</v>
      </c>
      <c r="D64" s="0" t="s">
        <v>22</v>
      </c>
      <c r="E64" s="0" t="s">
        <v>189</v>
      </c>
    </row>
    <row r="65">
      <c r="A65" s="0" t="s">
        <v>190</v>
      </c>
      <c r="B65" s="0" t="s">
        <v>77</v>
      </c>
      <c r="C65" s="0" t="s">
        <v>25</v>
      </c>
      <c r="D65" s="0" t="s">
        <v>22</v>
      </c>
      <c r="E65" s="0" t="s">
        <v>191</v>
      </c>
    </row>
    <row r="66">
      <c r="A66" s="0" t="s">
        <v>192</v>
      </c>
      <c r="B66" s="0" t="s">
        <v>77</v>
      </c>
      <c r="C66" s="0" t="s">
        <v>21</v>
      </c>
      <c r="D66" s="0" t="s">
        <v>22</v>
      </c>
      <c r="E66" s="0" t="s">
        <v>193</v>
      </c>
    </row>
    <row r="67">
      <c r="A67" s="0" t="s">
        <v>194</v>
      </c>
      <c r="B67" s="0" t="s">
        <v>77</v>
      </c>
      <c r="C67" s="0" t="s">
        <v>35</v>
      </c>
      <c r="D67" s="0" t="s">
        <v>22</v>
      </c>
      <c r="E67" s="0" t="s">
        <v>195</v>
      </c>
    </row>
    <row r="68">
      <c r="A68" s="0" t="s">
        <v>196</v>
      </c>
      <c r="B68" s="0" t="s">
        <v>81</v>
      </c>
      <c r="C68" s="0" t="s">
        <v>62</v>
      </c>
      <c r="D68" s="0" t="s">
        <v>28</v>
      </c>
      <c r="E68" s="0" t="s">
        <v>197</v>
      </c>
    </row>
    <row r="69">
      <c r="A69" s="0" t="s">
        <v>198</v>
      </c>
      <c r="B69" s="0" t="s">
        <v>85</v>
      </c>
      <c r="C69" s="0" t="s">
        <v>62</v>
      </c>
      <c r="D69" s="0" t="s">
        <v>28</v>
      </c>
      <c r="E69" s="0" t="s">
        <v>199</v>
      </c>
    </row>
    <row r="70">
      <c r="A70" s="0" t="s">
        <v>200</v>
      </c>
      <c r="B70" s="0" t="s">
        <v>27</v>
      </c>
      <c r="C70" s="0" t="s">
        <v>57</v>
      </c>
      <c r="D70" s="0" t="s">
        <v>22</v>
      </c>
      <c r="E70" s="0" t="s">
        <v>51</v>
      </c>
    </row>
    <row r="71">
      <c r="A71" s="0" t="s">
        <v>201</v>
      </c>
      <c r="B71" s="0" t="s">
        <v>42</v>
      </c>
      <c r="C71" s="0" t="s">
        <v>57</v>
      </c>
      <c r="D71" s="0" t="s">
        <v>28</v>
      </c>
      <c r="E71" s="0" t="s">
        <v>202</v>
      </c>
    </row>
    <row r="72">
      <c r="A72" s="0" t="s">
        <v>203</v>
      </c>
      <c r="B72" s="0" t="s">
        <v>42</v>
      </c>
      <c r="C72" s="0" t="s">
        <v>57</v>
      </c>
      <c r="D72" s="0" t="s">
        <v>33</v>
      </c>
      <c r="E72" s="0" t="s">
        <v>202</v>
      </c>
    </row>
    <row r="73">
      <c r="A73" s="0" t="s">
        <v>204</v>
      </c>
      <c r="B73" s="0" t="s">
        <v>89</v>
      </c>
      <c r="C73" s="0" t="s">
        <v>57</v>
      </c>
      <c r="D73" s="0" t="s">
        <v>38</v>
      </c>
      <c r="E73" s="0" t="s">
        <v>205</v>
      </c>
    </row>
    <row r="74">
      <c r="A74" s="0" t="s">
        <v>206</v>
      </c>
      <c r="B74" s="0" t="s">
        <v>61</v>
      </c>
      <c r="C74" s="0" t="s">
        <v>57</v>
      </c>
      <c r="D74" s="0" t="s">
        <v>33</v>
      </c>
      <c r="E74" s="0" t="s">
        <v>207</v>
      </c>
    </row>
    <row r="75">
      <c r="A75" s="0" t="s">
        <v>208</v>
      </c>
      <c r="B75" s="0" t="s">
        <v>77</v>
      </c>
      <c r="C75" s="0" t="s">
        <v>57</v>
      </c>
      <c r="D75" s="0" t="s">
        <v>22</v>
      </c>
      <c r="E75" s="0" t="s">
        <v>209</v>
      </c>
    </row>
    <row r="76">
      <c r="A76" s="0" t="s">
        <v>210</v>
      </c>
      <c r="B76" s="0" t="s">
        <v>73</v>
      </c>
      <c r="C76" s="0" t="s">
        <v>57</v>
      </c>
      <c r="D76" s="0" t="s">
        <v>22</v>
      </c>
      <c r="E76" s="0" t="s">
        <v>211</v>
      </c>
    </row>
    <row r="77">
      <c r="A77" s="0" t="s">
        <v>212</v>
      </c>
      <c r="B77" s="0" t="s">
        <v>69</v>
      </c>
      <c r="C77" s="0" t="s">
        <v>57</v>
      </c>
      <c r="D77" s="0" t="s">
        <v>22</v>
      </c>
      <c r="E77" s="0" t="s">
        <v>209</v>
      </c>
    </row>
    <row r="78">
      <c r="A78" s="0" t="s">
        <v>213</v>
      </c>
      <c r="B78" s="0" t="s">
        <v>37</v>
      </c>
      <c r="C78" s="0" t="s">
        <v>57</v>
      </c>
      <c r="D78" s="0" t="s">
        <v>22</v>
      </c>
      <c r="E78" s="0" t="s">
        <v>195</v>
      </c>
    </row>
    <row r="79">
      <c r="A79" s="0" t="s">
        <v>214</v>
      </c>
      <c r="B79" s="0" t="s">
        <v>65</v>
      </c>
      <c r="C79" s="0" t="s">
        <v>57</v>
      </c>
      <c r="D79" s="0" t="s">
        <v>33</v>
      </c>
      <c r="E79" s="0" t="s">
        <v>215</v>
      </c>
    </row>
    <row r="80">
      <c r="A80" s="0" t="s">
        <v>216</v>
      </c>
      <c r="B80" s="0" t="s">
        <v>92</v>
      </c>
      <c r="C80" s="0" t="s">
        <v>50</v>
      </c>
      <c r="D80" s="0" t="s">
        <v>22</v>
      </c>
      <c r="E80" s="0" t="s">
        <v>51</v>
      </c>
    </row>
    <row r="81">
      <c r="A81" s="0" t="s">
        <v>217</v>
      </c>
      <c r="B81" s="0" t="s">
        <v>92</v>
      </c>
      <c r="C81" s="0" t="s">
        <v>57</v>
      </c>
      <c r="D81" s="0" t="s">
        <v>22</v>
      </c>
      <c r="E81" s="0" t="s">
        <v>51</v>
      </c>
    </row>
    <row r="82">
      <c r="A82" s="0" t="s">
        <v>218</v>
      </c>
      <c r="B82" s="0" t="s">
        <v>96</v>
      </c>
      <c r="C82" s="0" t="s">
        <v>21</v>
      </c>
      <c r="D82" s="0" t="s">
        <v>38</v>
      </c>
      <c r="E82" s="0" t="s">
        <v>219</v>
      </c>
    </row>
    <row r="83">
      <c r="A83" s="0" t="s">
        <v>220</v>
      </c>
      <c r="B83" s="0" t="s">
        <v>96</v>
      </c>
      <c r="C83" s="0" t="s">
        <v>25</v>
      </c>
      <c r="D83" s="0" t="s">
        <v>38</v>
      </c>
      <c r="E83" s="0" t="s">
        <v>221</v>
      </c>
    </row>
    <row r="84">
      <c r="A84" s="0" t="s">
        <v>222</v>
      </c>
      <c r="B84" s="0" t="s">
        <v>96</v>
      </c>
      <c r="C84" s="0" t="s">
        <v>30</v>
      </c>
      <c r="D84" s="0" t="s">
        <v>38</v>
      </c>
      <c r="E84" s="0" t="s">
        <v>223</v>
      </c>
    </row>
    <row r="85">
      <c r="A85" s="0" t="s">
        <v>224</v>
      </c>
      <c r="B85" s="0" t="s">
        <v>96</v>
      </c>
      <c r="C85" s="0" t="s">
        <v>35</v>
      </c>
      <c r="D85" s="0" t="s">
        <v>38</v>
      </c>
      <c r="E85" s="0" t="s">
        <v>225</v>
      </c>
    </row>
    <row r="86">
      <c r="A86" s="0" t="s">
        <v>226</v>
      </c>
      <c r="B86" s="0" t="s">
        <v>96</v>
      </c>
      <c r="C86" s="0" t="s">
        <v>40</v>
      </c>
      <c r="D86" s="0" t="s">
        <v>38</v>
      </c>
      <c r="E86" s="0" t="s">
        <v>227</v>
      </c>
    </row>
    <row r="87">
      <c r="A87" s="0" t="s">
        <v>228</v>
      </c>
      <c r="B87" s="0" t="s">
        <v>96</v>
      </c>
      <c r="C87" s="0" t="s">
        <v>45</v>
      </c>
      <c r="D87" s="0" t="s">
        <v>38</v>
      </c>
      <c r="E87" s="0" t="s">
        <v>189</v>
      </c>
    </row>
    <row r="88">
      <c r="A88" s="0" t="s">
        <v>229</v>
      </c>
      <c r="B88" s="0" t="s">
        <v>96</v>
      </c>
      <c r="C88" s="0" t="s">
        <v>50</v>
      </c>
      <c r="D88" s="0" t="s">
        <v>38</v>
      </c>
      <c r="E88" s="0" t="s">
        <v>230</v>
      </c>
    </row>
    <row r="89">
      <c r="A89" s="0" t="s">
        <v>231</v>
      </c>
      <c r="B89" s="0" t="s">
        <v>96</v>
      </c>
      <c r="C89" s="0" t="s">
        <v>57</v>
      </c>
      <c r="D89" s="0" t="s">
        <v>38</v>
      </c>
      <c r="E89" s="0" t="s">
        <v>232</v>
      </c>
    </row>
    <row r="90">
      <c r="A90" s="0" t="s">
        <v>233</v>
      </c>
      <c r="B90" s="0" t="s">
        <v>99</v>
      </c>
      <c r="C90" s="0" t="s">
        <v>40</v>
      </c>
      <c r="D90" s="0" t="s">
        <v>33</v>
      </c>
      <c r="E90" s="0" t="s">
        <v>234</v>
      </c>
    </row>
    <row r="91">
      <c r="A91" s="0" t="s">
        <v>235</v>
      </c>
      <c r="B91" s="0" t="s">
        <v>99</v>
      </c>
      <c r="C91" s="0" t="s">
        <v>35</v>
      </c>
      <c r="D91" s="0" t="s">
        <v>33</v>
      </c>
      <c r="E91" s="0" t="s">
        <v>36</v>
      </c>
    </row>
    <row r="92">
      <c r="A92" s="0" t="s">
        <v>236</v>
      </c>
      <c r="B92" s="0" t="s">
        <v>103</v>
      </c>
      <c r="C92" s="0" t="s">
        <v>21</v>
      </c>
      <c r="D92" s="0" t="s">
        <v>43</v>
      </c>
      <c r="E92" s="0" t="s">
        <v>237</v>
      </c>
    </row>
    <row r="93">
      <c r="A93" s="0" t="s">
        <v>238</v>
      </c>
      <c r="B93" s="0" t="s">
        <v>42</v>
      </c>
      <c r="C93" s="0" t="s">
        <v>66</v>
      </c>
      <c r="D93" s="0" t="s">
        <v>48</v>
      </c>
      <c r="E93" s="0" t="s">
        <v>239</v>
      </c>
    </row>
    <row r="94">
      <c r="A94" s="0" t="s">
        <v>240</v>
      </c>
      <c r="B94" s="0" t="s">
        <v>42</v>
      </c>
      <c r="C94" s="0" t="s">
        <v>70</v>
      </c>
      <c r="D94" s="0" t="s">
        <v>48</v>
      </c>
      <c r="E94" s="0" t="s">
        <v>241</v>
      </c>
    </row>
    <row r="95">
      <c r="A95" s="0" t="s">
        <v>242</v>
      </c>
      <c r="B95" s="0" t="s">
        <v>42</v>
      </c>
      <c r="C95" s="0" t="s">
        <v>74</v>
      </c>
      <c r="D95" s="0" t="s">
        <v>48</v>
      </c>
      <c r="E95" s="0" t="s">
        <v>243</v>
      </c>
    </row>
    <row r="96">
      <c r="A96" s="0" t="s">
        <v>244</v>
      </c>
      <c r="B96" s="0" t="s">
        <v>42</v>
      </c>
      <c r="C96" s="0" t="s">
        <v>62</v>
      </c>
      <c r="D96" s="0" t="s">
        <v>33</v>
      </c>
      <c r="E96" s="0" t="s">
        <v>197</v>
      </c>
    </row>
    <row r="97">
      <c r="A97" s="0" t="s">
        <v>245</v>
      </c>
      <c r="B97" s="0" t="s">
        <v>42</v>
      </c>
      <c r="C97" s="0" t="s">
        <v>62</v>
      </c>
      <c r="D97" s="0" t="s">
        <v>28</v>
      </c>
      <c r="E97" s="0" t="s">
        <v>197</v>
      </c>
    </row>
    <row r="98">
      <c r="A98" s="0" t="s">
        <v>246</v>
      </c>
      <c r="B98" s="0" t="s">
        <v>77</v>
      </c>
      <c r="C98" s="0" t="s">
        <v>78</v>
      </c>
      <c r="D98" s="0" t="s">
        <v>53</v>
      </c>
      <c r="E98" s="0" t="s">
        <v>247</v>
      </c>
    </row>
    <row r="99">
      <c r="A99" s="0" t="s">
        <v>248</v>
      </c>
      <c r="B99" s="0" t="s">
        <v>77</v>
      </c>
      <c r="C99" s="0" t="s">
        <v>82</v>
      </c>
      <c r="D99" s="0" t="s">
        <v>53</v>
      </c>
      <c r="E99" s="0" t="s">
        <v>249</v>
      </c>
    </row>
    <row r="100">
      <c r="A100" s="0" t="s">
        <v>250</v>
      </c>
      <c r="B100" s="0" t="s">
        <v>77</v>
      </c>
      <c r="C100" s="0" t="s">
        <v>86</v>
      </c>
      <c r="D100" s="0" t="s">
        <v>53</v>
      </c>
      <c r="E100" s="0" t="s">
        <v>251</v>
      </c>
    </row>
    <row r="101">
      <c r="A101" s="0" t="s">
        <v>252</v>
      </c>
      <c r="B101" s="0" t="s">
        <v>52</v>
      </c>
      <c r="C101" s="0" t="s">
        <v>90</v>
      </c>
      <c r="D101" s="0" t="s">
        <v>33</v>
      </c>
      <c r="E101" s="0" t="s">
        <v>109</v>
      </c>
    </row>
    <row r="102">
      <c r="A102" s="0" t="s">
        <v>253</v>
      </c>
      <c r="B102" s="0" t="s">
        <v>52</v>
      </c>
      <c r="C102" s="0" t="s">
        <v>57</v>
      </c>
      <c r="D102" s="0" t="s">
        <v>22</v>
      </c>
      <c r="E102" s="0" t="s">
        <v>211</v>
      </c>
    </row>
    <row r="103">
      <c r="A103" s="0" t="s">
        <v>254</v>
      </c>
      <c r="B103" s="0" t="s">
        <v>65</v>
      </c>
      <c r="C103" s="0" t="s">
        <v>25</v>
      </c>
      <c r="D103" s="0" t="s">
        <v>33</v>
      </c>
      <c r="E103" s="0" t="s">
        <v>255</v>
      </c>
    </row>
    <row r="104">
      <c r="A104" s="0" t="s">
        <v>256</v>
      </c>
      <c r="B104" s="0" t="s">
        <v>65</v>
      </c>
      <c r="C104" s="0" t="s">
        <v>30</v>
      </c>
      <c r="D104" s="0" t="s">
        <v>33</v>
      </c>
      <c r="E104" s="0" t="s">
        <v>257</v>
      </c>
    </row>
    <row r="105">
      <c r="A105" s="0" t="s">
        <v>258</v>
      </c>
      <c r="B105" s="0" t="s">
        <v>65</v>
      </c>
      <c r="C105" s="0" t="s">
        <v>35</v>
      </c>
      <c r="D105" s="0" t="s">
        <v>33</v>
      </c>
      <c r="E105" s="0" t="s">
        <v>259</v>
      </c>
    </row>
    <row r="106">
      <c r="A106" s="0" t="s">
        <v>260</v>
      </c>
      <c r="B106" s="0" t="s">
        <v>65</v>
      </c>
      <c r="C106" s="0" t="s">
        <v>45</v>
      </c>
      <c r="D106" s="0" t="s">
        <v>33</v>
      </c>
      <c r="E106" s="0" t="s">
        <v>261</v>
      </c>
    </row>
    <row r="107">
      <c r="A107" s="0" t="s">
        <v>262</v>
      </c>
      <c r="B107" s="0" t="s">
        <v>65</v>
      </c>
      <c r="C107" s="0" t="s">
        <v>50</v>
      </c>
      <c r="D107" s="0" t="s">
        <v>33</v>
      </c>
      <c r="E107" s="0" t="s">
        <v>263</v>
      </c>
    </row>
    <row r="108">
      <c r="A108" s="0" t="s">
        <v>264</v>
      </c>
      <c r="B108" s="0" t="s">
        <v>56</v>
      </c>
      <c r="C108" s="0" t="s">
        <v>21</v>
      </c>
      <c r="D108" s="0" t="s">
        <v>33</v>
      </c>
      <c r="E108" s="0" t="s">
        <v>265</v>
      </c>
    </row>
    <row r="109">
      <c r="A109" s="0" t="s">
        <v>266</v>
      </c>
      <c r="B109" s="0" t="s">
        <v>56</v>
      </c>
      <c r="C109" s="0" t="s">
        <v>35</v>
      </c>
      <c r="D109" s="0" t="s">
        <v>33</v>
      </c>
      <c r="E109" s="0" t="s">
        <v>267</v>
      </c>
    </row>
    <row r="110">
      <c r="A110" s="0" t="s">
        <v>268</v>
      </c>
      <c r="B110" s="0" t="s">
        <v>56</v>
      </c>
      <c r="C110" s="0" t="s">
        <v>50</v>
      </c>
      <c r="D110" s="0" t="s">
        <v>33</v>
      </c>
      <c r="E110" s="0" t="s">
        <v>269</v>
      </c>
    </row>
    <row r="111">
      <c r="A111" s="0" t="s">
        <v>270</v>
      </c>
      <c r="B111" s="0" t="s">
        <v>56</v>
      </c>
      <c r="C111" s="0" t="s">
        <v>57</v>
      </c>
      <c r="D111" s="0" t="s">
        <v>33</v>
      </c>
      <c r="E111" s="0" t="s">
        <v>251</v>
      </c>
    </row>
    <row r="112">
      <c r="A112" s="0" t="s">
        <v>271</v>
      </c>
      <c r="B112" s="0" t="s">
        <v>20</v>
      </c>
      <c r="C112" s="0" t="s">
        <v>50</v>
      </c>
      <c r="D112" s="0" t="s">
        <v>22</v>
      </c>
      <c r="E112" s="0" t="s">
        <v>272</v>
      </c>
    </row>
    <row r="113">
      <c r="A113" s="0" t="s">
        <v>273</v>
      </c>
      <c r="B113" s="0" t="s">
        <v>20</v>
      </c>
      <c r="C113" s="0" t="s">
        <v>57</v>
      </c>
      <c r="D113" s="0" t="s">
        <v>22</v>
      </c>
      <c r="E113" s="0" t="s">
        <v>274</v>
      </c>
    </row>
    <row r="114">
      <c r="A114" s="0" t="s">
        <v>275</v>
      </c>
      <c r="B114" s="0" t="s">
        <v>99</v>
      </c>
      <c r="C114" s="0" t="s">
        <v>25</v>
      </c>
      <c r="D114" s="0" t="s">
        <v>33</v>
      </c>
      <c r="E114" s="0" t="s">
        <v>276</v>
      </c>
    </row>
    <row r="115">
      <c r="A115" s="0" t="s">
        <v>277</v>
      </c>
      <c r="B115" s="0" t="s">
        <v>77</v>
      </c>
      <c r="C115" s="0" t="s">
        <v>93</v>
      </c>
      <c r="D115" s="0" t="s">
        <v>22</v>
      </c>
      <c r="E115" s="0" t="s">
        <v>278</v>
      </c>
    </row>
    <row r="116">
      <c r="A116" s="0" t="s">
        <v>279</v>
      </c>
      <c r="B116" s="0" t="s">
        <v>77</v>
      </c>
      <c r="C116" s="0" t="s">
        <v>97</v>
      </c>
      <c r="D116" s="0" t="s">
        <v>22</v>
      </c>
      <c r="E116" s="0" t="s">
        <v>26</v>
      </c>
    </row>
    <row r="117">
      <c r="A117" s="0" t="s">
        <v>280</v>
      </c>
      <c r="B117" s="0" t="s">
        <v>106</v>
      </c>
      <c r="C117" s="0" t="s">
        <v>40</v>
      </c>
      <c r="D117" s="0" t="s">
        <v>58</v>
      </c>
      <c r="E117" s="0" t="s">
        <v>281</v>
      </c>
    </row>
    <row r="118">
      <c r="A118" s="0" t="s">
        <v>282</v>
      </c>
      <c r="B118" s="0" t="s">
        <v>110</v>
      </c>
      <c r="C118" s="0" t="s">
        <v>45</v>
      </c>
      <c r="D118" s="0" t="s">
        <v>58</v>
      </c>
      <c r="E118" s="0" t="s">
        <v>51</v>
      </c>
    </row>
    <row r="119">
      <c r="A119" s="0" t="s">
        <v>283</v>
      </c>
      <c r="B119" s="0" t="s">
        <v>77</v>
      </c>
      <c r="C119" s="0" t="s">
        <v>100</v>
      </c>
      <c r="D119" s="0" t="s">
        <v>22</v>
      </c>
      <c r="E119" s="0" t="s">
        <v>284</v>
      </c>
    </row>
    <row r="120">
      <c r="A120" s="0" t="s">
        <v>285</v>
      </c>
      <c r="B120" s="0" t="s">
        <v>77</v>
      </c>
      <c r="C120" s="0" t="s">
        <v>104</v>
      </c>
      <c r="D120" s="0" t="s">
        <v>22</v>
      </c>
      <c r="E120" s="0" t="s">
        <v>286</v>
      </c>
    </row>
    <row r="121">
      <c r="A121" s="0" t="s">
        <v>287</v>
      </c>
      <c r="B121" s="0" t="s">
        <v>77</v>
      </c>
      <c r="C121" s="0" t="s">
        <v>107</v>
      </c>
      <c r="D121" s="0" t="s">
        <v>22</v>
      </c>
      <c r="E121" s="0" t="s">
        <v>288</v>
      </c>
    </row>
    <row r="122">
      <c r="A122" s="0" t="s">
        <v>289</v>
      </c>
      <c r="B122" s="0" t="s">
        <v>27</v>
      </c>
      <c r="C122" s="0" t="s">
        <v>21</v>
      </c>
      <c r="D122" s="0" t="s">
        <v>22</v>
      </c>
      <c r="E122" s="0" t="s">
        <v>290</v>
      </c>
    </row>
    <row r="123">
      <c r="A123" s="0" t="s">
        <v>291</v>
      </c>
      <c r="B123" s="0" t="s">
        <v>77</v>
      </c>
      <c r="C123" s="0" t="s">
        <v>86</v>
      </c>
      <c r="D123" s="0" t="s">
        <v>22</v>
      </c>
      <c r="E123" s="0" t="s">
        <v>251</v>
      </c>
    </row>
  </sheetData>
  <sheetProtection sheet="1" password="c7db" selectLockedCells="1"/>
  <headerFooter/>
</worksheet>
</file>

<file path=customXml/_rels/item1.xml.rels><?xml version="1.0" encoding="UTF-8" standalone="yes"?>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AA424DE-BEB1-45E6-BD09-80669EA625E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Sheet1</vt:lpstr>
      <vt:lpstr>Sheet2</vt:lpstr>
      <vt:lpstr>GTIWilsonArroyo</vt:lpstr>
      <vt:lpstr>UnitedGTIRollingRidgeVanAlstyne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Schereiber</dc:creator>
  <cp:lastModifiedBy>Christian Abelardo Schereiber Cornelio</cp:lastModifiedBy>
  <dcterms:created xsi:type="dcterms:W3CDTF">2023-06-28T21:16:43Z</dcterms:created>
  <dcterms:modified xsi:type="dcterms:W3CDTF">2024-06-24T03:16:51Z</dcterms:modified>
</cp:coreProperties>
</file>